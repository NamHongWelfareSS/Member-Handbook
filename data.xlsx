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41" documentId="11_A88C884250063A86F00218599B70D26268CCBE65" xr6:coauthVersionLast="47" xr6:coauthVersionMax="47" xr10:uidLastSave="{62359A9E-1228-4689-B3FC-99BA4E4E6820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4" i="5" l="1"/>
  <c r="B84" i="5"/>
  <c r="A80" i="5"/>
  <c r="B80" i="5" s="1"/>
  <c r="A91" i="5"/>
  <c r="B91" i="5" s="1"/>
  <c r="A90" i="5"/>
  <c r="B90" i="5" s="1"/>
  <c r="A103" i="5"/>
  <c r="B103" i="5" s="1"/>
  <c r="A94" i="5"/>
  <c r="B94" i="5"/>
  <c r="A83" i="5"/>
  <c r="B83" i="5"/>
  <c r="A114" i="5"/>
  <c r="B114" i="5" s="1"/>
  <c r="A109" i="5"/>
  <c r="B109" i="5" s="1"/>
  <c r="A86" i="5"/>
  <c r="B86" i="5" s="1"/>
  <c r="A85" i="5"/>
  <c r="B85" i="5" s="1"/>
  <c r="A81" i="5"/>
  <c r="B81" i="5" s="1"/>
  <c r="A89" i="5"/>
  <c r="B89" i="5" s="1"/>
  <c r="A95" i="5"/>
  <c r="B95" i="5" s="1"/>
  <c r="A97" i="5"/>
  <c r="B97" i="5" s="1"/>
  <c r="A98" i="5"/>
  <c r="B98" i="5" s="1"/>
  <c r="A96" i="5"/>
  <c r="B96" i="5" s="1"/>
  <c r="A88" i="5"/>
  <c r="B88" i="5" s="1"/>
  <c r="A87" i="5"/>
  <c r="B87" i="5" s="1"/>
  <c r="A13" i="5"/>
  <c r="B13" i="5" s="1"/>
  <c r="A4" i="5"/>
  <c r="B4" i="5" s="1"/>
  <c r="A82" i="5"/>
  <c r="B82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3" i="5"/>
  <c r="B93" i="5" s="1"/>
  <c r="A92" i="5"/>
  <c r="B92" i="5" s="1"/>
  <c r="A101" i="5"/>
  <c r="B101" i="5" s="1"/>
  <c r="A100" i="5"/>
  <c r="B100" i="5" s="1"/>
  <c r="A107" i="5"/>
  <c r="B107" i="5" s="1"/>
  <c r="A106" i="5"/>
  <c r="B106" i="5" s="1"/>
  <c r="A105" i="5"/>
  <c r="B105" i="5" s="1"/>
  <c r="A110" i="5"/>
  <c r="B110" i="5" s="1"/>
  <c r="A113" i="5"/>
  <c r="B113" i="5" s="1"/>
  <c r="A116" i="5"/>
  <c r="B116" i="5" s="1"/>
  <c r="A115" i="5"/>
  <c r="B115" i="5" s="1"/>
  <c r="A118" i="5"/>
  <c r="B118" i="5" s="1"/>
  <c r="A125" i="5"/>
  <c r="B125" i="5" s="1"/>
  <c r="A130" i="5"/>
  <c r="B130" i="5" s="1"/>
  <c r="A134" i="5"/>
  <c r="B134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9" i="5"/>
  <c r="B99" i="5" s="1"/>
  <c r="A102" i="5"/>
  <c r="B102" i="5" s="1"/>
  <c r="A104" i="5"/>
  <c r="B104" i="5" s="1"/>
  <c r="A108" i="5"/>
  <c r="B108" i="5" s="1"/>
  <c r="A111" i="5"/>
  <c r="B111" i="5" s="1"/>
  <c r="A112" i="5"/>
  <c r="B112" i="5" s="1"/>
  <c r="A117" i="5"/>
  <c r="B117" i="5" s="1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6" i="5"/>
  <c r="B126" i="5" s="1"/>
  <c r="A127" i="5"/>
  <c r="B127" i="5" s="1"/>
  <c r="A128" i="5"/>
  <c r="B128" i="5" s="1"/>
  <c r="A129" i="5"/>
  <c r="B129" i="5" s="1"/>
  <c r="A131" i="5"/>
  <c r="B131" i="5" s="1"/>
  <c r="A132" i="5"/>
  <c r="B132" i="5" s="1"/>
  <c r="A133" i="5"/>
  <c r="B133" i="5" s="1"/>
</calcChain>
</file>

<file path=xl/sharedStrings.xml><?xml version="1.0" encoding="utf-8"?>
<sst xmlns="http://schemas.openxmlformats.org/spreadsheetml/2006/main" count="1034" uniqueCount="600">
  <si>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</si>
  <si>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</si>
  <si>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</si>
  <si>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</si>
  <si>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</si>
  <si>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</si>
  <si>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</si>
  <si>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</si>
  <si>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</si>
  <si>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</si>
  <si>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</si>
  <si>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</si>
  <si>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</si>
  <si>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</si>
  <si>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</si>
  <si>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</si>
  <si>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</si>
  <si>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</si>
  <si>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</si>
  <si>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</si>
  <si>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</si>
  <si>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</si>
  <si>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</si>
  <si>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</si>
  <si>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</si>
  <si>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</si>
  <si>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</si>
  <si>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</si>
  <si>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</si>
  <si>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</si>
  <si>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</si>
  <si>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</si>
  <si>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</si>
  <si>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</si>
  <si>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</si>
  <si>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</si>
  <si>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</si>
  <si>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</si>
  <si>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</si>
  <si>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</si>
  <si>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</si>
  <si>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</si>
  <si>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</si>
  <si>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</si>
  <si>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</si>
  <si>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</si>
  <si>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</si>
  <si>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</si>
  <si>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</si>
  <si>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</si>
  <si>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</si>
  <si>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</si>
  <si>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</si>
  <si>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</si>
  <si>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</si>
  <si>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</si>
  <si>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</si>
  <si>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</si>
  <si>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</si>
  <si>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</si>
  <si>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</si>
  <si>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</si>
  <si>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</si>
  <si>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</si>
  <si>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</si>
  <si>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</si>
  <si>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</si>
  <si>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</si>
  <si>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</si>
  <si>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</si>
  <si>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</si>
  <si>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</si>
  <si>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</si>
  <si>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</si>
  <si>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</si>
  <si>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</si>
  <si>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</si>
  <si>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</si>
  <si>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</si>
  <si>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</si>
  <si>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</si>
  <si>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</si>
  <si>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</si>
  <si>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</si>
  <si>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</si>
  <si>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</si>
  <si>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</si>
  <si>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</si>
  <si>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</si>
  <si>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</si>
  <si>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</si>
  <si>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</si>
  <si>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</si>
  <si>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</si>
  <si>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</si>
  <si>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</si>
  <si>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</si>
  <si>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</si>
  <si>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</si>
  <si>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</si>
  <si>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</si>
  <si>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</si>
  <si>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</si>
  <si>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</si>
  <si>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</si>
  <si>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</si>
  <si>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</si>
  <si>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</si>
  <si>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</si>
  <si>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</si>
  <si>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</si>
  <si>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</si>
  <si>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</si>
  <si>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</si>
  <si>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</si>
  <si>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</si>
  <si>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</si>
  <si>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</si>
  <si>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</si>
  <si>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</si>
  <si>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</si>
  <si>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</si>
  <si>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</si>
  <si>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</si>
  <si>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</si>
  <si>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</si>
  <si>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</si>
  <si>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</si>
  <si>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</si>
  <si>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</si>
  <si>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</si>
  <si>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</si>
  <si>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</si>
  <si>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</si>
  <si>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</si>
  <si>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</si>
  <si>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</si>
  <si>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</si>
  <si>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</si>
  <si>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</si>
  <si>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</si>
  <si>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</si>
  <si>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</si>
  <si>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</si>
  <si>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</si>
  <si>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</si>
  <si>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</si>
  <si>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</si>
  <si>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</si>
  <si>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</si>
  <si>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</si>
  <si>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</si>
  <si>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</si>
  <si>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</si>
  <si>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</si>
  <si>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</si>
  <si>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</si>
  <si>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</si>
  <si>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</si>
  <si>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</si>
  <si>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</si>
  <si>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</si>
  <si>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</si>
  <si>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</si>
  <si>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</si>
  <si>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</si>
  <si>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</si>
  <si>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</si>
  <si>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</si>
  <si>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</si>
  <si>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</si>
  <si>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</si>
  <si>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</si>
  <si>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</si>
  <si>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</si>
  <si>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</si>
  <si>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</si>
  <si>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</si>
  <si>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</si>
  <si>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</si>
  <si>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</si>
  <si>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</si>
  <si>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</si>
  <si>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</si>
  <si>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</si>
  <si>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</si>
  <si>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</si>
  <si>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</si>
  <si>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</si>
  <si>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</si>
  <si>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</si>
  <si>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</si>
  <si>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</si>
  <si>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</si>
  <si>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</si>
  <si>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</si>
  <si>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</si>
  <si>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</si>
  <si>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</si>
  <si>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</si>
  <si>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</si>
  <si>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</si>
  <si>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</si>
  <si>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</si>
  <si>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</si>
  <si>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</si>
  <si>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</si>
  <si>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</si>
  <si>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</si>
  <si>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</si>
  <si>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</si>
  <si>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</si>
  <si>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</si>
  <si>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</si>
  <si>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</si>
  <si>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</si>
  <si>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</si>
  <si>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</si>
  <si>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</si>
  <si>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</si>
  <si>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</si>
  <si>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</si>
  <si>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</si>
  <si>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</si>
  <si>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</si>
  <si>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</si>
  <si>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</si>
  <si>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</si>
  <si>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</si>
  <si>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</si>
  <si>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</si>
  <si>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</si>
  <si>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</si>
  <si>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</si>
  <si>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</si>
  <si>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</si>
  <si>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</si>
  <si>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</si>
  <si>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</si>
  <si>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</si>
  <si>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</si>
  <si>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</si>
  <si>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</si>
  <si>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</si>
  <si>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</si>
  <si>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</si>
  <si>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</si>
  <si>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</si>
  <si>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</si>
  <si>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</si>
  <si>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</si>
  <si>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</si>
  <si>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</si>
  <si>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</si>
  <si>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</si>
  <si>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</si>
  <si>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</si>
  <si>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</si>
  <si>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</si>
  <si>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</si>
  <si>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</si>
  <si>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</si>
  <si>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</si>
  <si>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</si>
  <si>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</si>
  <si>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</si>
  <si>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</si>
  <si>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</si>
  <si>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</si>
  <si>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</si>
  <si>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</si>
  <si>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</si>
  <si>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</si>
  <si>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</si>
  <si>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</si>
  <si>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</si>
  <si>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</si>
  <si>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</si>
  <si>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</si>
  <si>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</si>
  <si>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</si>
  <si>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</si>
  <si>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</si>
  <si>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</si>
  <si>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</si>
  <si>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</si>
  <si>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</si>
  <si>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</si>
  <si>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</si>
  <si>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</si>
  <si>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</si>
  <si>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</si>
  <si>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</si>
  <si>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</si>
  <si>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</si>
  <si>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</si>
  <si>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</si>
  <si>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</si>
  <si>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</si>
  <si>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</si>
  <si>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</si>
  <si>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</si>
  <si>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</si>
  <si>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</si>
  <si>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</si>
  <si>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</si>
  <si>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</si>
  <si>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</si>
  <si>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</si>
  <si>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</si>
  <si>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</si>
  <si>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</si>
  <si>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</si>
  <si>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</si>
  <si>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</si>
  <si>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</si>
  <si>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</si>
  <si>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</si>
  <si>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</si>
  <si>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</si>
  <si>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</si>
  <si>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</si>
  <si>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</si>
  <si>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</si>
  <si>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</si>
  <si>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</si>
  <si>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</si>
  <si>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</si>
  <si>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</si>
  <si>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</si>
  <si>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</si>
  <si>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</si>
  <si>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</si>
  <si>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</si>
  <si>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</si>
  <si>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</si>
  <si>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</si>
  <si>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</si>
  <si>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</si>
  <si>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</si>
  <si>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</si>
  <si>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</si>
  <si>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</si>
  <si>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</si>
  <si>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</si>
  <si>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</si>
  <si>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</si>
  <si>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</si>
  <si>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</si>
  <si>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</si>
  <si>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</si>
  <si>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</si>
  <si>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</si>
  <si>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</si>
  <si>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</si>
  <si>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</si>
  <si>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</si>
  <si>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</si>
  <si>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</si>
  <si>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</si>
  <si>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</si>
  <si>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</si>
  <si>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</si>
  <si>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</si>
  <si>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</si>
  <si>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</si>
  <si>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</si>
  <si>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</si>
  <si>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</si>
  <si>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</si>
  <si>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</si>
  <si>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</si>
  <si>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</si>
  <si>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</si>
  <si>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</si>
  <si>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</si>
  <si>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</si>
  <si>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</si>
  <si>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</si>
  <si>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</si>
  <si>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</si>
  <si>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</si>
  <si>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</si>
  <si>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</si>
  <si>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</si>
  <si>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</si>
  <si>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</si>
  <si>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</si>
  <si>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</si>
  <si>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</si>
  <si>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</si>
  <si>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</si>
  <si>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</si>
  <si>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</si>
  <si>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</si>
  <si>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</si>
  <si>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</si>
  <si>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</si>
  <si>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</si>
  <si>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</si>
  <si>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</si>
  <si>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</si>
  <si>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</si>
  <si>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</si>
  <si>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</si>
  <si>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</si>
  <si>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</si>
  <si>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</si>
  <si>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</si>
  <si>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</si>
  <si>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</si>
  <si>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</si>
  <si>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</si>
  <si>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</si>
  <si>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</si>
  <si>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</si>
  <si>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</si>
  <si>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</si>
  <si>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</si>
  <si>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</si>
  <si>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</si>
  <si>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</si>
  <si>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</si>
  <si>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</si>
  <si>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</si>
  <si>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</si>
  <si>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</si>
  <si>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</si>
  <si>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</si>
  <si>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</si>
  <si>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</si>
  <si>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</si>
  <si>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</si>
  <si>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</si>
  <si>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</si>
  <si>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</si>
  <si>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</si>
  <si>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</si>
  <si>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</si>
  <si>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</si>
  <si>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</si>
  <si>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</si>
  <si>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</si>
  <si>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</si>
  <si>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</si>
  <si>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</si>
  <si>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</si>
  <si>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</si>
  <si>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</si>
  <si>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</si>
  <si>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</si>
  <si>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</si>
  <si>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</si>
  <si>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</si>
  <si>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</si>
  <si>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</si>
  <si>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</si>
  <si>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</si>
  <si>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</si>
  <si>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</si>
  <si>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</si>
  <si>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</si>
  <si>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</si>
  <si>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</si>
  <si>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</si>
  <si>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</si>
  <si>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</si>
  <si>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</si>
  <si>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</si>
  <si>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</si>
  <si>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</si>
  <si>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</si>
  <si>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</si>
  <si>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</si>
  <si>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</si>
  <si>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</si>
  <si>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</si>
  <si>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</si>
  <si>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</si>
  <si>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</si>
  <si>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</si>
  <si>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</si>
  <si>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</si>
  <si>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</si>
  <si>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</si>
  <si>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</si>
  <si>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</si>
  <si>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</si>
  <si>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</si>
  <si>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</si>
  <si>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</si>
  <si>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</si>
  <si>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</si>
  <si>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</si>
  <si>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</si>
  <si>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</si>
  <si>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</si>
  <si>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</si>
  <si>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</si>
  <si>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</si>
  <si>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</si>
  <si>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</si>
  <si>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</si>
  <si>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</si>
  <si>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</si>
  <si>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</si>
  <si>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</si>
  <si>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</si>
  <si>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</si>
  <si>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</si>
  <si>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</si>
  <si>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</si>
  <si>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</si>
  <si>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</si>
  <si>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</si>
  <si>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</si>
  <si>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</si>
  <si>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</si>
  <si>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</si>
  <si>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</si>
  <si>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</si>
  <si>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</si>
  <si>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</si>
  <si>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</si>
  <si>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</si>
  <si>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</si>
  <si>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</si>
  <si>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</si>
  <si>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</si>
  <si>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</si>
  <si>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</si>
  <si>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</si>
  <si>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</si>
  <si>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</si>
  <si>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</si>
  <si>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</si>
  <si>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</si>
  <si>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</si>
  <si>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</si>
  <si>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</si>
  <si>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</si>
  <si>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</si>
  <si>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</si>
  <si>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</si>
  <si>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</si>
  <si>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</si>
  <si>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</si>
  <si>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</si>
  <si>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</si>
  <si>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</si>
  <si>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</si>
  <si>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</si>
  <si>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</si>
  <si>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</si>
  <si>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</si>
  <si>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</si>
  <si>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</si>
  <si>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</si>
  <si>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</si>
  <si>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</si>
  <si>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</si>
  <si>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</si>
  <si>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</si>
  <si>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</si>
  <si>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</si>
  <si>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</si>
  <si>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</si>
  <si>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</si>
  <si>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</si>
  <si>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</si>
  <si>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</si>
  <si>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</si>
  <si>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</si>
  <si>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</si>
  <si>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</si>
  <si>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</si>
  <si>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</si>
  <si>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</si>
  <si>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</si>
  <si>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</si>
  <si>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</si>
  <si>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</si>
  <si>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</si>
  <si>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</si>
  <si>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</si>
  <si>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</si>
  <si>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</si>
  <si>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</si>
  <si>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</si>
  <si>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</si>
  <si>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</si>
  <si>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</si>
  <si>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</si>
  <si>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</si>
  <si>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</si>
  <si>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</si>
  <si>
    <t>Charities Essentials : Converting charity to CLG - Duties of Directors</t>
  </si>
  <si>
    <t>Charity to CLG conversion</t>
  </si>
  <si>
    <t>Social Service Sector Roadmap, 9am-1pm, NCSS Ulu Pandan Community Building</t>
  </si>
  <si>
    <t>NCSS Roadmap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</si>
</sst>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4"/>
  <sheetViews>
    <sheetView tabSelected="1" workbookViewId="0">
      <pane ySplit="1" topLeftCell="A63" activePane="bottomLeft" state="frozen"/>
      <selection activeCell="C1" sqref="C1"/>
      <selection pane="bottomLeft" activeCell="F85" sqref="F85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8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DATE(2026,10,16)</f>
        <v>46311</v>
      </c>
      <c r="B80" s="13" t="str">
        <f>TEXT($A80,"ddd")</f>
        <v>Fri</v>
      </c>
      <c r="C80" s="40" t="s">
        <v>596</v>
      </c>
      <c r="D80" s="37"/>
      <c r="E80" s="37" t="s">
        <v>226</v>
      </c>
      <c r="F80" s="44" t="s">
        <v>597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576</v>
      </c>
      <c r="D81" s="16" t="s">
        <v>579</v>
      </c>
      <c r="E81" s="11" t="s">
        <v>218</v>
      </c>
      <c r="F81" s="25" t="s">
        <v>425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549</v>
      </c>
      <c r="D82" s="25" t="s">
        <v>550</v>
      </c>
      <c r="E82" s="25" t="s">
        <v>129</v>
      </c>
      <c r="F82" s="25" t="s">
        <v>548</v>
      </c>
    </row>
    <row r="83" spans="1:6" x14ac:dyDescent="0.35">
      <c r="A83" s="12">
        <f>DATE(2026,10,21)</f>
        <v>46316</v>
      </c>
      <c r="B83" s="13" t="str">
        <f t="shared" si="0"/>
        <v>Wed</v>
      </c>
      <c r="C83" s="16" t="s">
        <v>585</v>
      </c>
      <c r="D83" s="16" t="s">
        <v>586</v>
      </c>
      <c r="E83" s="11" t="s">
        <v>121</v>
      </c>
      <c r="F83" s="25" t="s">
        <v>397</v>
      </c>
    </row>
    <row r="84" spans="1:6" x14ac:dyDescent="0.35">
      <c r="A84" s="12">
        <f>DATE(2026,10,21)</f>
        <v>46316</v>
      </c>
      <c r="B84" s="13" t="str">
        <f>TEXT($A84,"ddd")</f>
        <v>Wed</v>
      </c>
      <c r="C84" s="40" t="s">
        <v>598</v>
      </c>
      <c r="D84" s="37"/>
      <c r="E84" s="37" t="s">
        <v>226</v>
      </c>
      <c r="F84" s="44" t="s">
        <v>599</v>
      </c>
    </row>
    <row r="85" spans="1:6" x14ac:dyDescent="0.35">
      <c r="A85" s="12">
        <f>DATE(2026,10,23)</f>
        <v>46318</v>
      </c>
      <c r="B85" s="13" t="str">
        <f t="shared" si="0"/>
        <v>Fri</v>
      </c>
      <c r="C85" s="16" t="s">
        <v>577</v>
      </c>
      <c r="D85" s="16" t="s">
        <v>580</v>
      </c>
      <c r="E85" s="11" t="s">
        <v>218</v>
      </c>
      <c r="F85" s="25" t="s">
        <v>425</v>
      </c>
    </row>
    <row r="86" spans="1:6" x14ac:dyDescent="0.35">
      <c r="A86" s="12">
        <f>DATE(2026,10,24)</f>
        <v>46319</v>
      </c>
      <c r="B86" s="13" t="str">
        <f t="shared" si="0"/>
        <v>Sat</v>
      </c>
      <c r="C86" s="16" t="s">
        <v>578</v>
      </c>
      <c r="D86" s="16" t="s">
        <v>581</v>
      </c>
      <c r="E86" s="11" t="s">
        <v>218</v>
      </c>
      <c r="F86" s="25" t="s">
        <v>425</v>
      </c>
    </row>
    <row r="87" spans="1:6" x14ac:dyDescent="0.35">
      <c r="A87" s="12">
        <f>DATE(2026,10,26)</f>
        <v>46321</v>
      </c>
      <c r="B87" s="42" t="str">
        <f t="shared" si="0"/>
        <v>Mon</v>
      </c>
      <c r="C87" s="25" t="s">
        <v>559</v>
      </c>
      <c r="D87" s="25" t="s">
        <v>558</v>
      </c>
      <c r="E87" s="25" t="s">
        <v>124</v>
      </c>
      <c r="F87" s="25" t="s">
        <v>560</v>
      </c>
    </row>
    <row r="88" spans="1:6" x14ac:dyDescent="0.35">
      <c r="A88" s="12">
        <f>DATE(2026,10,27)</f>
        <v>46322</v>
      </c>
      <c r="B88" s="42" t="str">
        <f t="shared" si="0"/>
        <v>Tue</v>
      </c>
      <c r="C88" s="25" t="s">
        <v>561</v>
      </c>
      <c r="D88" s="25"/>
      <c r="E88" s="25" t="s">
        <v>124</v>
      </c>
      <c r="F88" s="25" t="s">
        <v>562</v>
      </c>
    </row>
    <row r="89" spans="1:6" x14ac:dyDescent="0.35">
      <c r="A89" s="35">
        <f>DATE(2026,11,3)</f>
        <v>46329</v>
      </c>
      <c r="B89" s="36" t="str">
        <f t="shared" ref="B89:B133" si="2">TEXT($A89,"ddd")</f>
        <v>Tue</v>
      </c>
      <c r="C89" s="40" t="s">
        <v>575</v>
      </c>
      <c r="D89" s="40" t="s">
        <v>574</v>
      </c>
      <c r="E89" s="37" t="s">
        <v>121</v>
      </c>
      <c r="F89" s="25" t="s">
        <v>427</v>
      </c>
    </row>
    <row r="90" spans="1:6" x14ac:dyDescent="0.35">
      <c r="A90" s="35">
        <f>DATE(2026,11,3)</f>
        <v>46329</v>
      </c>
      <c r="B90" s="36" t="str">
        <f t="shared" si="2"/>
        <v>Tue</v>
      </c>
      <c r="C90" s="40" t="s">
        <v>592</v>
      </c>
      <c r="D90" s="40" t="s">
        <v>593</v>
      </c>
      <c r="E90" s="37" t="s">
        <v>121</v>
      </c>
      <c r="F90" s="44" t="s">
        <v>594</v>
      </c>
    </row>
    <row r="91" spans="1:6" x14ac:dyDescent="0.35">
      <c r="A91" s="35">
        <f>DATE(2026,11,7)</f>
        <v>46333</v>
      </c>
      <c r="B91" s="36" t="str">
        <f t="shared" si="2"/>
        <v>Sat</v>
      </c>
      <c r="C91" s="40" t="s">
        <v>595</v>
      </c>
      <c r="D91" s="40" t="s">
        <v>593</v>
      </c>
      <c r="E91" s="37" t="s">
        <v>121</v>
      </c>
      <c r="F91" s="44" t="s">
        <v>594</v>
      </c>
    </row>
    <row r="92" spans="1:6" x14ac:dyDescent="0.35">
      <c r="A92" s="35">
        <f>DATE(2026,11,8)</f>
        <v>46334</v>
      </c>
      <c r="B92" s="36" t="str">
        <f>TEXT($A92,"ddd")</f>
        <v>Sun</v>
      </c>
      <c r="C92" s="37" t="s">
        <v>452</v>
      </c>
      <c r="D92" s="37" t="s">
        <v>453</v>
      </c>
      <c r="E92" s="39" t="s">
        <v>451</v>
      </c>
      <c r="F92" s="25" t="s">
        <v>491</v>
      </c>
    </row>
    <row r="93" spans="1:6" x14ac:dyDescent="0.35">
      <c r="A93" s="12">
        <f>DATE(2026,11,9)</f>
        <v>46335</v>
      </c>
      <c r="B93" s="13" t="str">
        <f>TEXT($A93,"ddd")</f>
        <v>Mon</v>
      </c>
      <c r="C93" s="11" t="s">
        <v>475</v>
      </c>
      <c r="D93" s="11" t="s">
        <v>476</v>
      </c>
      <c r="E93" s="38" t="s">
        <v>451</v>
      </c>
      <c r="F93" s="25" t="s">
        <v>492</v>
      </c>
    </row>
    <row r="94" spans="1:6" x14ac:dyDescent="0.35">
      <c r="A94" s="12">
        <f>DATE(2026,11,19)</f>
        <v>46345</v>
      </c>
      <c r="B94" s="13" t="str">
        <f>TEXT($A94,"ddd")</f>
        <v>Thu</v>
      </c>
      <c r="C94" s="16" t="s">
        <v>588</v>
      </c>
      <c r="D94" s="16" t="s">
        <v>587</v>
      </c>
      <c r="E94" s="46" t="s">
        <v>129</v>
      </c>
      <c r="F94" s="44" t="s">
        <v>589</v>
      </c>
    </row>
    <row r="95" spans="1:6" x14ac:dyDescent="0.35">
      <c r="A95" s="31">
        <f>DATE(2026,11,28)</f>
        <v>46354</v>
      </c>
      <c r="B95" s="32" t="str">
        <f t="shared" si="2"/>
        <v>Sat</v>
      </c>
      <c r="C95" s="43" t="s">
        <v>573</v>
      </c>
      <c r="D95" s="33"/>
      <c r="E95" s="33" t="s">
        <v>124</v>
      </c>
      <c r="F95" s="25" t="s">
        <v>428</v>
      </c>
    </row>
    <row r="96" spans="1:6" x14ac:dyDescent="0.35">
      <c r="A96" s="35">
        <f>DATE(2026,12,7)</f>
        <v>46363</v>
      </c>
      <c r="B96" s="36" t="str">
        <f t="shared" si="2"/>
        <v>Mon</v>
      </c>
      <c r="C96" s="40" t="s">
        <v>569</v>
      </c>
      <c r="D96" s="40" t="s">
        <v>570</v>
      </c>
      <c r="E96" s="40" t="s">
        <v>218</v>
      </c>
      <c r="F96" s="40" t="s">
        <v>568</v>
      </c>
    </row>
    <row r="97" spans="1:6" x14ac:dyDescent="0.35">
      <c r="A97" s="35">
        <f>DATE(2026,12,7)</f>
        <v>46363</v>
      </c>
      <c r="B97" s="36" t="str">
        <f t="shared" si="2"/>
        <v>Mon</v>
      </c>
      <c r="C97" s="40" t="s">
        <v>571</v>
      </c>
      <c r="D97" s="40"/>
      <c r="E97" s="40" t="s">
        <v>121</v>
      </c>
      <c r="F97" s="40" t="s">
        <v>572</v>
      </c>
    </row>
    <row r="98" spans="1:6" x14ac:dyDescent="0.35">
      <c r="A98" s="35">
        <f>DATE(2026,12,11)</f>
        <v>46367</v>
      </c>
      <c r="B98" s="36" t="str">
        <f t="shared" si="2"/>
        <v>Fri</v>
      </c>
      <c r="C98" s="40" t="s">
        <v>565</v>
      </c>
      <c r="D98" s="40" t="s">
        <v>566</v>
      </c>
      <c r="E98" s="40" t="s">
        <v>218</v>
      </c>
      <c r="F98" s="44" t="s">
        <v>567</v>
      </c>
    </row>
    <row r="99" spans="1:6" x14ac:dyDescent="0.35">
      <c r="A99" s="35">
        <f>DATE(2026,12,16)</f>
        <v>46372</v>
      </c>
      <c r="B99" s="36" t="str">
        <f t="shared" si="2"/>
        <v>Wed</v>
      </c>
      <c r="C99" s="40" t="s">
        <v>445</v>
      </c>
      <c r="D99" s="40" t="s">
        <v>195</v>
      </c>
      <c r="E99" s="37" t="s">
        <v>131</v>
      </c>
      <c r="F99" s="25" t="s">
        <v>429</v>
      </c>
    </row>
    <row r="100" spans="1:6" x14ac:dyDescent="0.35">
      <c r="A100" s="35">
        <f>DATE(2026,12,25)</f>
        <v>46381</v>
      </c>
      <c r="B100" s="36" t="str">
        <f>TEXT($A100,"ddd")</f>
        <v>Fri</v>
      </c>
      <c r="C100" s="37" t="s">
        <v>449</v>
      </c>
      <c r="D100" s="37" t="s">
        <v>450</v>
      </c>
      <c r="E100" s="39" t="s">
        <v>451</v>
      </c>
      <c r="F100" s="25" t="s">
        <v>493</v>
      </c>
    </row>
    <row r="101" spans="1:6" x14ac:dyDescent="0.35">
      <c r="A101" s="12">
        <f>DATE(2027,1,1)</f>
        <v>46388</v>
      </c>
      <c r="B101" s="13" t="str">
        <f>TEXT($A101,"ddd")</f>
        <v>Fri</v>
      </c>
      <c r="C101" s="11" t="s">
        <v>473</v>
      </c>
      <c r="D101" s="11" t="s">
        <v>474</v>
      </c>
      <c r="E101" s="38" t="s">
        <v>451</v>
      </c>
      <c r="F101" s="25" t="s">
        <v>481</v>
      </c>
    </row>
    <row r="102" spans="1:6" x14ac:dyDescent="0.35">
      <c r="A102" s="31">
        <f>DATE(2027,1,1)</f>
        <v>46388</v>
      </c>
      <c r="B102" s="32" t="str">
        <f t="shared" si="2"/>
        <v>Fri</v>
      </c>
      <c r="C102" s="43" t="s">
        <v>217</v>
      </c>
      <c r="D102" s="33" t="s">
        <v>196</v>
      </c>
      <c r="E102" s="33" t="s">
        <v>131</v>
      </c>
      <c r="F102" s="25" t="s">
        <v>388</v>
      </c>
    </row>
    <row r="103" spans="1:6" x14ac:dyDescent="0.35">
      <c r="A103" s="35">
        <f>DATE(2027,1,15)</f>
        <v>46402</v>
      </c>
      <c r="B103" s="36" t="str">
        <f t="shared" si="2"/>
        <v>Fri</v>
      </c>
      <c r="C103" s="40" t="s">
        <v>590</v>
      </c>
      <c r="D103" s="40" t="s">
        <v>591</v>
      </c>
      <c r="E103" s="37" t="s">
        <v>121</v>
      </c>
      <c r="F103" s="25"/>
    </row>
    <row r="104" spans="1:6" x14ac:dyDescent="0.35">
      <c r="A104" s="35">
        <f>DATE(2027,1,30)</f>
        <v>46417</v>
      </c>
      <c r="B104" s="36" t="str">
        <f t="shared" si="2"/>
        <v>Sat</v>
      </c>
      <c r="C104" s="37" t="s">
        <v>166</v>
      </c>
      <c r="D104" s="37" t="s">
        <v>197</v>
      </c>
      <c r="E104" s="37" t="s">
        <v>121</v>
      </c>
      <c r="F104" s="25" t="s">
        <v>391</v>
      </c>
    </row>
    <row r="105" spans="1:6" x14ac:dyDescent="0.35">
      <c r="A105" s="35">
        <f>DATE(2027,2,6)</f>
        <v>46424</v>
      </c>
      <c r="B105" s="36" t="str">
        <f>TEXT($A105,"ddd")</f>
        <v>Sat</v>
      </c>
      <c r="C105" s="37" t="s">
        <v>467</v>
      </c>
      <c r="D105" s="37" t="s">
        <v>468</v>
      </c>
      <c r="E105" s="39" t="s">
        <v>451</v>
      </c>
      <c r="F105" s="25" t="s">
        <v>482</v>
      </c>
    </row>
    <row r="106" spans="1:6" x14ac:dyDescent="0.35">
      <c r="A106" s="35">
        <f>DATE(2027,2,7)</f>
        <v>46425</v>
      </c>
      <c r="B106" s="36" t="str">
        <f>TEXT($A106,"ddd")</f>
        <v>Sun</v>
      </c>
      <c r="C106" s="37" t="s">
        <v>469</v>
      </c>
      <c r="D106" s="37" t="s">
        <v>470</v>
      </c>
      <c r="E106" s="39" t="s">
        <v>451</v>
      </c>
      <c r="F106" s="25" t="s">
        <v>482</v>
      </c>
    </row>
    <row r="107" spans="1:6" x14ac:dyDescent="0.35">
      <c r="A107" s="12">
        <f>DATE(2027,2,8)</f>
        <v>46426</v>
      </c>
      <c r="B107" s="13" t="str">
        <f>TEXT($A107,"ddd")</f>
        <v>Mon</v>
      </c>
      <c r="C107" s="11" t="s">
        <v>471</v>
      </c>
      <c r="D107" s="11" t="s">
        <v>472</v>
      </c>
      <c r="E107" s="38" t="s">
        <v>451</v>
      </c>
      <c r="F107" s="25" t="s">
        <v>494</v>
      </c>
    </row>
    <row r="108" spans="1:6" x14ac:dyDescent="0.35">
      <c r="A108" s="41">
        <f>DATE(2027,2,18)</f>
        <v>46436</v>
      </c>
      <c r="B108" s="42" t="str">
        <f t="shared" si="2"/>
        <v>Thu</v>
      </c>
      <c r="C108" s="25" t="s">
        <v>220</v>
      </c>
      <c r="D108" s="25" t="s">
        <v>221</v>
      </c>
      <c r="E108" s="25" t="s">
        <v>219</v>
      </c>
      <c r="F108" s="26" t="s">
        <v>392</v>
      </c>
    </row>
    <row r="109" spans="1:6" x14ac:dyDescent="0.35">
      <c r="A109" s="12">
        <f>DATE(2027,3,6)</f>
        <v>46452</v>
      </c>
      <c r="B109" s="13" t="str">
        <f>TEXT($A109,"ddd")</f>
        <v>Sat</v>
      </c>
      <c r="C109" s="11" t="s">
        <v>518</v>
      </c>
      <c r="D109" s="11" t="s">
        <v>519</v>
      </c>
      <c r="E109" s="11" t="s">
        <v>124</v>
      </c>
      <c r="F109" s="25" t="s">
        <v>422</v>
      </c>
    </row>
    <row r="110" spans="1:6" x14ac:dyDescent="0.35">
      <c r="A110" s="12">
        <f>DATE(2027,3,10)</f>
        <v>46456</v>
      </c>
      <c r="B110" s="13" t="str">
        <f>TEXT($A110,"ddd")</f>
        <v>Wed</v>
      </c>
      <c r="C110" s="11" t="s">
        <v>465</v>
      </c>
      <c r="D110" s="11" t="s">
        <v>466</v>
      </c>
      <c r="E110" s="38" t="s">
        <v>462</v>
      </c>
      <c r="F110" s="25" t="s">
        <v>483</v>
      </c>
    </row>
    <row r="111" spans="1:6" x14ac:dyDescent="0.35">
      <c r="A111" s="31">
        <f>DATE(2027,3,19)</f>
        <v>46465</v>
      </c>
      <c r="B111" s="32" t="str">
        <f t="shared" si="2"/>
        <v>Fri</v>
      </c>
      <c r="C111" s="33" t="s">
        <v>167</v>
      </c>
      <c r="D111" s="33" t="s">
        <v>198</v>
      </c>
      <c r="E111" s="33" t="s">
        <v>124</v>
      </c>
      <c r="F111" s="26" t="s">
        <v>426</v>
      </c>
    </row>
    <row r="112" spans="1:6" x14ac:dyDescent="0.35">
      <c r="A112" s="35">
        <f>DATE(2027,3,25)</f>
        <v>46471</v>
      </c>
      <c r="B112" s="36" t="str">
        <f t="shared" si="2"/>
        <v>Thu</v>
      </c>
      <c r="C112" s="37" t="s">
        <v>168</v>
      </c>
      <c r="D112" s="37" t="s">
        <v>199</v>
      </c>
      <c r="E112" s="37" t="s">
        <v>121</v>
      </c>
      <c r="F112" s="26" t="s">
        <v>399</v>
      </c>
    </row>
    <row r="113" spans="1:6" x14ac:dyDescent="0.35">
      <c r="A113" s="12">
        <f>DATE(2027,3,26)</f>
        <v>46472</v>
      </c>
      <c r="B113" s="13" t="str">
        <f>TEXT($A113,"ddd")</f>
        <v>Fri</v>
      </c>
      <c r="C113" s="11" t="s">
        <v>463</v>
      </c>
      <c r="D113" s="11" t="s">
        <v>464</v>
      </c>
      <c r="E113" s="38" t="s">
        <v>451</v>
      </c>
      <c r="F113" s="25" t="s">
        <v>484</v>
      </c>
    </row>
    <row r="114" spans="1:6" x14ac:dyDescent="0.35">
      <c r="A114" s="31">
        <f>DATE(2027,4,17)</f>
        <v>46494</v>
      </c>
      <c r="B114" s="32" t="str">
        <f>TEXT($A114,"ddd")</f>
        <v>Sat</v>
      </c>
      <c r="C114" s="43" t="s">
        <v>582</v>
      </c>
      <c r="D114" s="43" t="s">
        <v>583</v>
      </c>
      <c r="E114" s="43" t="s">
        <v>131</v>
      </c>
      <c r="F114" s="45" t="s">
        <v>584</v>
      </c>
    </row>
    <row r="115" spans="1:6" x14ac:dyDescent="0.35">
      <c r="A115" s="35">
        <f>DATE(2027,5,1)</f>
        <v>46508</v>
      </c>
      <c r="B115" s="36" t="str">
        <f>TEXT($A115,"ddd")</f>
        <v>Sat</v>
      </c>
      <c r="C115" s="37" t="s">
        <v>458</v>
      </c>
      <c r="D115" s="37" t="s">
        <v>459</v>
      </c>
      <c r="E115" s="39" t="s">
        <v>451</v>
      </c>
      <c r="F115" s="25" t="s">
        <v>485</v>
      </c>
    </row>
    <row r="116" spans="1:6" x14ac:dyDescent="0.35">
      <c r="A116" s="12">
        <f>DATE(2027,5,17)</f>
        <v>46524</v>
      </c>
      <c r="B116" s="13" t="str">
        <f>TEXT($A116,"ddd")</f>
        <v>Mon</v>
      </c>
      <c r="C116" s="11" t="s">
        <v>460</v>
      </c>
      <c r="D116" s="11" t="s">
        <v>461</v>
      </c>
      <c r="E116" s="38" t="s">
        <v>462</v>
      </c>
      <c r="F116" s="25" t="s">
        <v>486</v>
      </c>
    </row>
    <row r="117" spans="1:6" x14ac:dyDescent="0.35">
      <c r="A117" s="41">
        <f>DATE(2027,5,19)</f>
        <v>46526</v>
      </c>
      <c r="B117" s="42" t="str">
        <f t="shared" si="2"/>
        <v>Wed</v>
      </c>
      <c r="C117" s="25" t="s">
        <v>169</v>
      </c>
      <c r="D117" s="25" t="s">
        <v>200</v>
      </c>
      <c r="E117" s="25" t="s">
        <v>218</v>
      </c>
      <c r="F117" s="26" t="s">
        <v>400</v>
      </c>
    </row>
    <row r="118" spans="1:6" x14ac:dyDescent="0.35">
      <c r="A118" s="12">
        <f>DATE(2027,5,20)</f>
        <v>46527</v>
      </c>
      <c r="B118" s="13" t="str">
        <f>TEXT($A118,"ddd")</f>
        <v>Thu</v>
      </c>
      <c r="C118" s="11" t="s">
        <v>456</v>
      </c>
      <c r="D118" s="11" t="s">
        <v>457</v>
      </c>
      <c r="E118" s="38" t="s">
        <v>451</v>
      </c>
      <c r="F118" s="25" t="s">
        <v>487</v>
      </c>
    </row>
    <row r="119" spans="1:6" x14ac:dyDescent="0.35">
      <c r="A119" s="31">
        <f>DATE(2027,5,20)</f>
        <v>46527</v>
      </c>
      <c r="B119" s="32" t="str">
        <f t="shared" si="2"/>
        <v>Thu</v>
      </c>
      <c r="C119" s="33" t="s">
        <v>170</v>
      </c>
      <c r="D119" s="33" t="s">
        <v>201</v>
      </c>
      <c r="E119" s="33" t="s">
        <v>218</v>
      </c>
      <c r="F119" s="26" t="s">
        <v>400</v>
      </c>
    </row>
    <row r="120" spans="1:6" x14ac:dyDescent="0.35">
      <c r="A120" s="12">
        <f>DATE(2027,5,21)</f>
        <v>46528</v>
      </c>
      <c r="B120" s="13" t="str">
        <f t="shared" si="2"/>
        <v>Fri</v>
      </c>
      <c r="C120" s="11" t="s">
        <v>171</v>
      </c>
      <c r="D120" s="11" t="s">
        <v>202</v>
      </c>
      <c r="E120" s="11" t="s">
        <v>218</v>
      </c>
      <c r="F120" s="26" t="s">
        <v>400</v>
      </c>
    </row>
    <row r="121" spans="1:6" x14ac:dyDescent="0.35">
      <c r="A121" s="12">
        <f>DATE(2027,5,28)</f>
        <v>46535</v>
      </c>
      <c r="B121" s="13" t="str">
        <f t="shared" si="2"/>
        <v>Fri</v>
      </c>
      <c r="C121" s="11" t="s">
        <v>172</v>
      </c>
      <c r="D121" s="11" t="s">
        <v>203</v>
      </c>
      <c r="E121" s="11" t="s">
        <v>121</v>
      </c>
      <c r="F121" s="26" t="s">
        <v>431</v>
      </c>
    </row>
    <row r="122" spans="1:6" x14ac:dyDescent="0.35">
      <c r="A122" s="12">
        <f>DATE(2027,6,11)</f>
        <v>46549</v>
      </c>
      <c r="B122" s="13" t="str">
        <f t="shared" si="2"/>
        <v>Fri</v>
      </c>
      <c r="C122" s="11" t="s">
        <v>236</v>
      </c>
      <c r="D122" s="11" t="s">
        <v>198</v>
      </c>
      <c r="E122" s="11" t="s">
        <v>124</v>
      </c>
      <c r="F122" s="26" t="s">
        <v>426</v>
      </c>
    </row>
    <row r="123" spans="1:6" x14ac:dyDescent="0.35">
      <c r="A123" s="12">
        <f>DATE(2027,7,9)</f>
        <v>46577</v>
      </c>
      <c r="B123" s="13" t="str">
        <f t="shared" si="2"/>
        <v>Fri</v>
      </c>
      <c r="C123" s="16" t="s">
        <v>437</v>
      </c>
      <c r="D123" s="11" t="s">
        <v>438</v>
      </c>
      <c r="E123" s="11" t="s">
        <v>124</v>
      </c>
      <c r="F123" s="25" t="s">
        <v>439</v>
      </c>
    </row>
    <row r="124" spans="1:6" x14ac:dyDescent="0.35">
      <c r="A124" s="35">
        <f>DATE(2027,7,30)</f>
        <v>46598</v>
      </c>
      <c r="B124" s="36" t="str">
        <f t="shared" si="2"/>
        <v>Fri</v>
      </c>
      <c r="C124" s="37" t="s">
        <v>173</v>
      </c>
      <c r="D124" s="37" t="s">
        <v>204</v>
      </c>
      <c r="E124" s="37" t="s">
        <v>124</v>
      </c>
      <c r="F124" s="26" t="s">
        <v>426</v>
      </c>
    </row>
    <row r="125" spans="1:6" x14ac:dyDescent="0.35">
      <c r="A125" s="12">
        <f>DATE(2027,8,9)</f>
        <v>46608</v>
      </c>
      <c r="B125" s="13" t="str">
        <f>TEXT($A125,"ddd")</f>
        <v>Mon</v>
      </c>
      <c r="C125" s="11" t="s">
        <v>454</v>
      </c>
      <c r="D125" s="11" t="s">
        <v>455</v>
      </c>
      <c r="E125" s="38" t="s">
        <v>451</v>
      </c>
      <c r="F125" s="25" t="s">
        <v>489</v>
      </c>
    </row>
    <row r="126" spans="1:6" x14ac:dyDescent="0.35">
      <c r="A126" s="31">
        <f>DATE(2027,8,16)</f>
        <v>46615</v>
      </c>
      <c r="B126" s="32" t="str">
        <f t="shared" si="2"/>
        <v>Mon</v>
      </c>
      <c r="C126" s="33" t="s">
        <v>174</v>
      </c>
      <c r="D126" s="33" t="s">
        <v>205</v>
      </c>
      <c r="E126" s="33" t="s">
        <v>218</v>
      </c>
      <c r="F126" s="26" t="s">
        <v>430</v>
      </c>
    </row>
    <row r="127" spans="1:6" x14ac:dyDescent="0.35">
      <c r="A127" s="12">
        <f>DATE(2027,9,10)</f>
        <v>46640</v>
      </c>
      <c r="B127" s="13" t="str">
        <f t="shared" si="2"/>
        <v>Fri</v>
      </c>
      <c r="C127" s="11" t="s">
        <v>167</v>
      </c>
      <c r="D127" s="11" t="s">
        <v>198</v>
      </c>
      <c r="E127" s="11" t="s">
        <v>124</v>
      </c>
      <c r="F127" s="26" t="s">
        <v>426</v>
      </c>
    </row>
    <row r="128" spans="1:6" x14ac:dyDescent="0.35">
      <c r="A128" s="12">
        <f>DATE(2027,9,18)</f>
        <v>46648</v>
      </c>
      <c r="B128" s="13" t="str">
        <f t="shared" si="2"/>
        <v>Sat</v>
      </c>
      <c r="C128" s="11" t="s">
        <v>175</v>
      </c>
      <c r="D128" s="11" t="s">
        <v>206</v>
      </c>
      <c r="E128" s="11" t="s">
        <v>131</v>
      </c>
      <c r="F128" s="26" t="s">
        <v>424</v>
      </c>
    </row>
    <row r="129" spans="1:6" x14ac:dyDescent="0.35">
      <c r="A129" s="35">
        <f>DATE(2027,10,15)</f>
        <v>46675</v>
      </c>
      <c r="B129" s="36" t="str">
        <f t="shared" si="2"/>
        <v>Fri</v>
      </c>
      <c r="C129" s="37" t="s">
        <v>167</v>
      </c>
      <c r="D129" s="37" t="s">
        <v>198</v>
      </c>
      <c r="E129" s="37" t="s">
        <v>124</v>
      </c>
      <c r="F129" s="26" t="s">
        <v>426</v>
      </c>
    </row>
    <row r="130" spans="1:6" x14ac:dyDescent="0.35">
      <c r="A130" s="12">
        <f>DATE(2027,10,28)</f>
        <v>46688</v>
      </c>
      <c r="B130" s="13" t="str">
        <f>TEXT($A130,"ddd")</f>
        <v>Thu</v>
      </c>
      <c r="C130" s="11" t="s">
        <v>452</v>
      </c>
      <c r="D130" s="11" t="s">
        <v>453</v>
      </c>
      <c r="E130" s="38" t="s">
        <v>451</v>
      </c>
      <c r="F130" s="25" t="s">
        <v>491</v>
      </c>
    </row>
    <row r="131" spans="1:6" x14ac:dyDescent="0.35">
      <c r="A131" s="31">
        <f>DATE(2027,11,12)</f>
        <v>46703</v>
      </c>
      <c r="B131" s="32" t="str">
        <f t="shared" si="2"/>
        <v>Fri</v>
      </c>
      <c r="C131" s="33" t="s">
        <v>167</v>
      </c>
      <c r="D131" s="33" t="s">
        <v>198</v>
      </c>
      <c r="E131" s="33" t="s">
        <v>124</v>
      </c>
      <c r="F131" s="26" t="s">
        <v>426</v>
      </c>
    </row>
    <row r="132" spans="1:6" x14ac:dyDescent="0.35">
      <c r="A132" s="12">
        <f>DATE(2027,11,26)</f>
        <v>46717</v>
      </c>
      <c r="B132" s="13" t="str">
        <f t="shared" si="2"/>
        <v>Fri</v>
      </c>
      <c r="C132" s="16" t="s">
        <v>437</v>
      </c>
      <c r="D132" s="11" t="s">
        <v>438</v>
      </c>
      <c r="E132" s="11" t="s">
        <v>124</v>
      </c>
      <c r="F132" s="25" t="s">
        <v>439</v>
      </c>
    </row>
    <row r="133" spans="1:6" x14ac:dyDescent="0.35">
      <c r="A133" s="35">
        <f>DATE(2027,12,16)</f>
        <v>46737</v>
      </c>
      <c r="B133" s="36" t="str">
        <f t="shared" si="2"/>
        <v>Thu</v>
      </c>
      <c r="C133" s="37" t="s">
        <v>165</v>
      </c>
      <c r="D133" s="40" t="s">
        <v>195</v>
      </c>
      <c r="E133" s="37" t="s">
        <v>131</v>
      </c>
      <c r="F133" s="26" t="s">
        <v>429</v>
      </c>
    </row>
    <row r="134" spans="1:6" x14ac:dyDescent="0.35">
      <c r="A134" s="12">
        <f>DATE(2027,12,25)</f>
        <v>46746</v>
      </c>
      <c r="B134" s="13" t="str">
        <f>TEXT($A134,"ddd")</f>
        <v>Sat</v>
      </c>
      <c r="C134" s="11" t="s">
        <v>449</v>
      </c>
      <c r="D134" s="11" t="s">
        <v>450</v>
      </c>
      <c r="E134" s="38" t="s">
        <v>451</v>
      </c>
      <c r="F134" s="25" t="s">
        <v>493</v>
      </c>
    </row>
  </sheetData>
  <autoFilter ref="A1:E134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46311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2026-10-16T01:27:44Z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