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2054" documentId="11_A88C884250063A86F00218599B70D26268CCBE65" xr6:coauthVersionLast="47" xr6:coauthVersionMax="47" xr10:uidLastSave="{5B8C2866-5C32-44E6-97A6-FD8342A1D348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5" l="1"/>
  <c r="B163" i="5"/>
  <c r="A153" i="5"/>
  <c r="B153" i="5"/>
  <c r="A152" i="5"/>
  <c r="B152" i="5" s="1"/>
  <c r="A151" i="5"/>
  <c r="B151" i="5"/>
  <c r="A148" i="5"/>
  <c r="B148" i="5"/>
  <c r="A144" i="5"/>
  <c r="B144" i="5"/>
  <c r="A102" i="5"/>
  <c r="B102" i="5" s="1"/>
  <c r="A117" i="5"/>
  <c r="B117" i="5" s="1"/>
  <c r="A92" i="5"/>
  <c r="B92" i="5" s="1"/>
  <c r="A91" i="5"/>
  <c r="B91" i="5"/>
  <c r="A162" i="5"/>
  <c r="B162" i="5" s="1"/>
  <c r="A161" i="5"/>
  <c r="B161" i="5" s="1"/>
  <c r="A160" i="5"/>
  <c r="B160" i="5" s="1"/>
  <c r="A159" i="5"/>
  <c r="B159" i="5" s="1"/>
  <c r="A158" i="5"/>
  <c r="B158" i="5" s="1"/>
  <c r="A157" i="5"/>
  <c r="B157" i="5" s="1"/>
  <c r="A156" i="5"/>
  <c r="B156" i="5" s="1"/>
  <c r="A155" i="5"/>
  <c r="B155" i="5" s="1"/>
  <c r="A154" i="5"/>
  <c r="B154" i="5" s="1"/>
  <c r="A150" i="5"/>
  <c r="B150" i="5"/>
  <c r="A141" i="5"/>
  <c r="B141" i="5" s="1"/>
  <c r="A140" i="5"/>
  <c r="B140" i="5" s="1"/>
  <c r="A139" i="5"/>
  <c r="B139" i="5"/>
  <c r="A138" i="5"/>
  <c r="B138" i="5" s="1"/>
  <c r="A137" i="5"/>
  <c r="B137" i="5" s="1"/>
  <c r="A136" i="5"/>
  <c r="A135" i="5"/>
  <c r="A134" i="5"/>
  <c r="B134" i="5" s="1"/>
  <c r="B136" i="5"/>
  <c r="B135" i="5"/>
  <c r="A133" i="5"/>
  <c r="B133" i="5"/>
  <c r="A88" i="5"/>
  <c r="B88" i="5"/>
  <c r="A97" i="5"/>
  <c r="B97" i="5" s="1"/>
  <c r="A83" i="5"/>
  <c r="B83" i="5" s="1"/>
  <c r="A80" i="5"/>
  <c r="B80" i="5" s="1"/>
  <c r="A93" i="5"/>
  <c r="B93" i="5" s="1"/>
  <c r="A90" i="5"/>
  <c r="B90" i="5" s="1"/>
  <c r="A106" i="5"/>
  <c r="B106" i="5" s="1"/>
  <c r="A96" i="5"/>
  <c r="B96" i="5" s="1"/>
  <c r="A118" i="5"/>
  <c r="B118" i="5" s="1"/>
  <c r="A112" i="5"/>
  <c r="B112" i="5" s="1"/>
  <c r="A85" i="5"/>
  <c r="B85" i="5" s="1"/>
  <c r="A84" i="5"/>
  <c r="B84" i="5" s="1"/>
  <c r="A81" i="5"/>
  <c r="B81" i="5" s="1"/>
  <c r="A89" i="5"/>
  <c r="B89" i="5" s="1"/>
  <c r="A98" i="5"/>
  <c r="B98" i="5" s="1"/>
  <c r="A100" i="5"/>
  <c r="B100" i="5" s="1"/>
  <c r="A101" i="5"/>
  <c r="B101" i="5" s="1"/>
  <c r="A99" i="5"/>
  <c r="B99" i="5" s="1"/>
  <c r="A87" i="5"/>
  <c r="B87" i="5" s="1"/>
  <c r="A86" i="5"/>
  <c r="B86" i="5" s="1"/>
  <c r="A13" i="5"/>
  <c r="B13" i="5" s="1"/>
  <c r="A4" i="5"/>
  <c r="B4" i="5" s="1"/>
  <c r="A82" i="5"/>
  <c r="B82" i="5" s="1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5" i="5"/>
  <c r="B95" i="5" s="1"/>
  <c r="A94" i="5"/>
  <c r="B94" i="5" s="1"/>
  <c r="A104" i="5"/>
  <c r="B104" i="5" s="1"/>
  <c r="A103" i="5"/>
  <c r="B103" i="5" s="1"/>
  <c r="A110" i="5"/>
  <c r="B110" i="5" s="1"/>
  <c r="A109" i="5"/>
  <c r="B109" i="5" s="1"/>
  <c r="A108" i="5"/>
  <c r="B108" i="5" s="1"/>
  <c r="A113" i="5"/>
  <c r="B113" i="5" s="1"/>
  <c r="A116" i="5"/>
  <c r="B116" i="5" s="1"/>
  <c r="A120" i="5"/>
  <c r="B120" i="5" s="1"/>
  <c r="A119" i="5"/>
  <c r="B119" i="5" s="1"/>
  <c r="A122" i="5"/>
  <c r="B122" i="5" s="1"/>
  <c r="A129" i="5"/>
  <c r="B129" i="5" s="1"/>
  <c r="A143" i="5"/>
  <c r="B143" i="5" s="1"/>
  <c r="A149" i="5"/>
  <c r="B149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105" i="5"/>
  <c r="B105" i="5" s="1"/>
  <c r="A107" i="5"/>
  <c r="B107" i="5" s="1"/>
  <c r="A111" i="5"/>
  <c r="B111" i="5" s="1"/>
  <c r="A114" i="5"/>
  <c r="B114" i="5" s="1"/>
  <c r="A115" i="5"/>
  <c r="B115" i="5" s="1"/>
  <c r="A121" i="5"/>
  <c r="B121" i="5" s="1"/>
  <c r="A123" i="5"/>
  <c r="B123" i="5" s="1"/>
  <c r="A124" i="5"/>
  <c r="B124" i="5" s="1"/>
  <c r="A125" i="5"/>
  <c r="B125" i="5" s="1"/>
  <c r="A126" i="5"/>
  <c r="B126" i="5" s="1"/>
  <c r="A127" i="5"/>
  <c r="B127" i="5" s="1"/>
  <c r="A128" i="5"/>
  <c r="B128" i="5" s="1"/>
  <c r="A130" i="5"/>
  <c r="B130" i="5" s="1"/>
  <c r="A131" i="5"/>
  <c r="B131" i="5" s="1"/>
  <c r="A132" i="5"/>
  <c r="B132" i="5" s="1"/>
  <c r="A142" i="5"/>
  <c r="B142" i="5" s="1"/>
  <c r="A145" i="5"/>
  <c r="B145" i="5" s="1"/>
  <c r="A146" i="5"/>
  <c r="B146" i="5" s="1"/>
  <c r="A147" i="5"/>
  <c r="B147" i="5" s="1"/>
</calcChain>
</file>

<file path=xl/sharedStrings.xml><?xml version="1.0" encoding="utf-8"?>
<sst xmlns="http://schemas.openxmlformats.org/spreadsheetml/2006/main" count="1143" uniqueCount="617">
  <si>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</si>
  <si>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</si>
  <si>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</si>
  <si>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</si>
  <si>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</si>
  <si>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</si>
  <si>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</si>
  <si>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</si>
  <si>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</si>
  <si>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</si>
  <si>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</si>
  <si>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</si>
  <si>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</si>
  <si>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</si>
  <si>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</si>
  <si>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</si>
  <si>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</si>
  <si>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</si>
  <si>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</si>
  <si>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</si>
  <si>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</si>
  <si>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</si>
  <si>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</si>
  <si>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</si>
  <si>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</si>
  <si>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</si>
  <si>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</si>
  <si>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</si>
  <si>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</si>
  <si>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</si>
  <si>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</si>
  <si>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</si>
  <si>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</si>
  <si>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</si>
  <si>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</si>
  <si>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</si>
  <si>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</si>
  <si>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</si>
  <si>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</si>
  <si>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</si>
  <si>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</si>
  <si>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</si>
  <si>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</si>
  <si>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</si>
  <si>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</si>
  <si>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</si>
  <si>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</si>
  <si>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</si>
  <si>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</si>
  <si>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</si>
  <si>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</si>
  <si>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</si>
  <si>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</si>
  <si>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</si>
  <si>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</si>
  <si>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</si>
  <si>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</si>
  <si>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</si>
  <si>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</si>
  <si>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</si>
  <si>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</si>
  <si>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</si>
  <si>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</si>
  <si>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</si>
  <si>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</si>
  <si>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</si>
  <si>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</si>
  <si>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</si>
  <si>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</si>
  <si>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</si>
  <si>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</si>
  <si>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</si>
  <si>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</si>
  <si>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</si>
  <si>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</si>
  <si>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</si>
  <si>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</si>
  <si>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</si>
  <si>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</si>
  <si>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</si>
  <si>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</si>
  <si>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</si>
  <si>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</si>
  <si>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</si>
  <si>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</si>
  <si>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</si>
  <si>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</si>
  <si>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</si>
  <si>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</si>
  <si>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</si>
  <si>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</si>
  <si>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</si>
  <si>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</si>
  <si>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</si>
  <si>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</si>
  <si>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</si>
  <si>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</si>
  <si>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</si>
  <si>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</si>
  <si>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</si>
  <si>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</si>
  <si>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</si>
  <si>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</si>
  <si>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</si>
  <si>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</si>
  <si>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</si>
  <si>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</si>
  <si>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</si>
  <si>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</si>
  <si>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</si>
  <si>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</si>
  <si>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</si>
  <si>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</si>
  <si>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</si>
  <si>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</si>
  <si>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</si>
  <si>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</si>
  <si>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</si>
  <si>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</si>
  <si>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</si>
  <si>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</si>
  <si>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</si>
  <si>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</si>
  <si>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</si>
  <si>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</si>
  <si>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</si>
  <si>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</si>
  <si>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</si>
  <si>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</si>
  <si>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</si>
  <si>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</si>
  <si>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</si>
  <si>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</si>
  <si>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</si>
  <si>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</si>
  <si>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</si>
  <si>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</si>
  <si>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</si>
  <si>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</si>
  <si>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</si>
  <si>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</si>
  <si>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</si>
  <si>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</si>
  <si>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</si>
  <si>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</si>
  <si>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</si>
  <si>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</si>
  <si>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</si>
  <si>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</si>
  <si>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</si>
  <si>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</si>
  <si>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</si>
  <si>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</si>
  <si>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</si>
  <si>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</si>
  <si>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</si>
  <si>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</si>
  <si>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</si>
  <si>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</si>
  <si>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</si>
  <si>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</si>
  <si>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</si>
  <si>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</si>
  <si>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</si>
  <si>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</si>
  <si>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</si>
  <si>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</si>
  <si>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</si>
  <si>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</si>
  <si>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</si>
  <si>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</si>
  <si>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</si>
  <si>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</si>
  <si>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</si>
  <si>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</si>
  <si>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</si>
  <si>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</si>
  <si>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</si>
  <si>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</si>
  <si>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</si>
  <si>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</si>
  <si>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</si>
  <si>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</si>
  <si>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</si>
  <si>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</si>
  <si>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</si>
  <si>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</si>
  <si>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</si>
  <si>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</si>
  <si>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</si>
  <si>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</si>
  <si>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</si>
  <si>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</si>
  <si>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</si>
  <si>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</si>
  <si>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</si>
  <si>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</si>
  <si>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</si>
  <si>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</si>
  <si>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</si>
  <si>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</si>
  <si>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</si>
  <si>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</si>
  <si>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</si>
  <si>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</si>
  <si>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</si>
  <si>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</si>
  <si>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</si>
  <si>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</si>
  <si>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</si>
  <si>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</si>
  <si>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</si>
  <si>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</si>
  <si>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</si>
  <si>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</si>
  <si>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</si>
  <si>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</si>
  <si>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</si>
  <si>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</si>
  <si>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</si>
  <si>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</si>
  <si>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</si>
  <si>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</si>
  <si>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</si>
  <si>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</si>
  <si>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</si>
  <si>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</si>
  <si>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</si>
  <si>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</si>
  <si>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</si>
  <si>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</si>
  <si>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</si>
  <si>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</si>
  <si>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</si>
  <si>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</si>
  <si>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</si>
  <si>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</si>
  <si>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</si>
  <si>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</si>
  <si>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</si>
  <si>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</si>
  <si>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</si>
  <si>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</si>
  <si>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</si>
  <si>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</si>
  <si>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</si>
  <si>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</si>
  <si>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</si>
  <si>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</si>
  <si>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</si>
  <si>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</si>
  <si>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</si>
  <si>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</si>
  <si>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</si>
  <si>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</si>
  <si>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</si>
  <si>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</si>
  <si>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</si>
  <si>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</si>
  <si>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</si>
  <si>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</si>
  <si>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</si>
  <si>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</si>
  <si>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</si>
  <si>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</si>
  <si>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</si>
  <si>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</si>
  <si>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</si>
  <si>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</si>
  <si>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</si>
  <si>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</si>
  <si>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</si>
  <si>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</si>
  <si>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</si>
  <si>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</si>
  <si>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</si>
  <si>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</si>
  <si>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</si>
  <si>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</si>
  <si>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</si>
  <si>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</si>
  <si>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</si>
  <si>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</si>
  <si>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</si>
  <si>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</si>
  <si>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</si>
  <si>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</si>
  <si>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</si>
  <si>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</si>
  <si>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</si>
  <si>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</si>
  <si>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</si>
  <si>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</si>
  <si>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</si>
  <si>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</si>
  <si>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</si>
  <si>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</si>
  <si>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</si>
  <si>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</si>
  <si>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</si>
  <si>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</si>
  <si>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</si>
  <si>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</si>
  <si>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</si>
  <si>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</si>
  <si>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</si>
  <si>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</si>
  <si>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</si>
  <si>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</si>
  <si>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</si>
  <si>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</si>
  <si>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</si>
  <si>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</si>
  <si>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</si>
  <si>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</si>
  <si>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</si>
  <si>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</si>
  <si>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</si>
  <si>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</si>
  <si>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</si>
  <si>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</si>
  <si>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</si>
  <si>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</si>
  <si>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</si>
  <si>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</si>
  <si>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</si>
  <si>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</si>
  <si>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</si>
  <si>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</si>
  <si>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</si>
  <si>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</si>
  <si>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</si>
  <si>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</si>
  <si>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</si>
  <si>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</si>
  <si>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</si>
  <si>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</si>
  <si>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</si>
  <si>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</si>
  <si>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</si>
  <si>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</si>
  <si>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</si>
  <si>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</si>
  <si>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</si>
  <si>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</si>
  <si>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</si>
  <si>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</si>
  <si>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</si>
  <si>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</si>
  <si>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</si>
  <si>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</si>
  <si>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</si>
  <si>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</si>
  <si>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</si>
  <si>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</si>
  <si>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</si>
  <si>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</si>
  <si>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</si>
  <si>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</si>
  <si>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</si>
  <si>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</si>
  <si>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</si>
  <si>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</si>
  <si>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</si>
  <si>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</si>
  <si>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</si>
  <si>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</si>
  <si>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</si>
  <si>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</si>
  <si>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</si>
  <si>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</si>
  <si>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</si>
  <si>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</si>
  <si>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</si>
  <si>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</si>
  <si>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</si>
  <si>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</si>
  <si>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</si>
  <si>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</si>
  <si>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</si>
  <si>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</si>
  <si>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</si>
  <si>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</si>
  <si>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</si>
  <si>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</si>
  <si>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</si>
  <si>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</si>
  <si>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</si>
  <si>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</si>
  <si>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</si>
  <si>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</si>
  <si>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</si>
  <si>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</si>
  <si>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</si>
  <si>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</si>
  <si>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</si>
  <si>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</si>
  <si>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</si>
  <si>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</si>
  <si>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</si>
  <si>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</si>
  <si>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</si>
  <si>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</si>
  <si>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</si>
  <si>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</si>
  <si>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</si>
  <si>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</si>
  <si>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</si>
  <si>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</si>
  <si>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</si>
  <si>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</si>
  <si>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</si>
  <si>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</si>
  <si>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</si>
  <si>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</si>
  <si>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</si>
  <si>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</si>
  <si>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</si>
  <si>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</si>
  <si>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</si>
  <si>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</si>
  <si>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</si>
  <si>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</si>
  <si>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</si>
  <si>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</si>
  <si>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</si>
  <si>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</si>
  <si>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</si>
  <si>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</si>
  <si>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</si>
  <si>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</si>
  <si>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</si>
  <si>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</si>
  <si>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</si>
  <si>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</si>
  <si>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</si>
  <si>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</si>
  <si>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</si>
  <si>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</si>
  <si>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</si>
  <si>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</si>
  <si>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</si>
  <si>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</si>
  <si>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</si>
  <si>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</si>
  <si>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</si>
  <si>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</si>
  <si>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</si>
  <si>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</si>
  <si>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</si>
  <si>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</si>
  <si>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</si>
  <si>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</si>
  <si>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</si>
  <si>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</si>
  <si>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</si>
  <si>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</si>
  <si>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</si>
  <si>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</si>
  <si>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</si>
  <si>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</si>
  <si>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</si>
  <si>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</si>
  <si>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</si>
  <si>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</si>
  <si>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</si>
  <si>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</si>
  <si>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</si>
  <si>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</si>
  <si>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</si>
  <si>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</si>
  <si>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</si>
  <si>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</si>
  <si>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</si>
  <si>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</si>
  <si>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</si>
  <si>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</si>
  <si>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</si>
  <si>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</si>
  <si>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</si>
  <si>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</si>
  <si>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</si>
  <si>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</si>
  <si>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</si>
  <si>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</si>
  <si>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</si>
  <si>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</si>
  <si>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</si>
  <si>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</si>
  <si>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</si>
  <si>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</si>
  <si>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</si>
  <si>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</si>
  <si>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</si>
  <si>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</si>
  <si>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</si>
  <si>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</si>
  <si>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</si>
  <si>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</si>
  <si>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</si>
  <si>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</si>
  <si>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</si>
  <si>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</si>
  <si>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</si>
  <si>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</si>
  <si>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</si>
  <si>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</si>
  <si>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</si>
  <si>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</si>
  <si>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</si>
  <si>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</si>
  <si>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</si>
  <si>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</si>
  <si>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</si>
  <si>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</si>
  <si>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</si>
  <si>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</si>
  <si>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</si>
  <si>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</si>
  <si>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</si>
  <si>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</si>
  <si>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</si>
  <si>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</si>
  <si>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</si>
  <si>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</si>
  <si>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</si>
  <si>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</si>
  <si>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</si>
  <si>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</si>
  <si>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</si>
  <si>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</si>
  <si>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</si>
  <si>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</si>
  <si>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</si>
  <si>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</si>
  <si>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</si>
  <si>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</si>
  <si>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</si>
  <si>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</si>
  <si>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</si>
  <si>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</si>
  <si>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</si>
  <si>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</si>
  <si>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</si>
  <si>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</si>
  <si>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</si>
  <si>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</si>
  <si>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</si>
  <si>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</si>
  <si>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</si>
  <si>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</si>
  <si>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</si>
  <si>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</si>
  <si>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</si>
  <si>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</si>
  <si>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</si>
  <si>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</si>
  <si>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</si>
  <si>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</si>
  <si>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</si>
  <si>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</si>
  <si>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</si>
  <si>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</si>
  <si>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</si>
  <si>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</si>
  <si>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</si>
  <si>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</si>
  <si>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</si>
  <si>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</si>
  <si>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</si>
  <si>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</si>
  <si>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</si>
  <si>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</si>
  <si>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</si>
  <si>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</si>
  <si>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</si>
  <si>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</si>
  <si>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</si>
  <si>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</si>
  <si>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</si>
  <si>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</si>
  <si>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</si>
  <si>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</si>
  <si>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</si>
  <si>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</si>
  <si>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</si>
  <si>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</si>
  <si>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</si>
  <si>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</si>
  <si>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</si>
  <si>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</si>
  <si>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</si>
  <si>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</si>
  <si>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</si>
  <si>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</si>
  <si>
    <t>Charities Essentials : Converting charity to CLG - Duties of Directors</t>
  </si>
  <si>
    <t>Charity to CLG conversion</t>
  </si>
  <si>
    <t>Social Service Sector Roadmap, 9am-1pm, NCSS Ulu Pandan Community Building</t>
  </si>
  <si>
    <t>NCSS Roadmap refresh</t>
  </si>
  <si>
    <t>Hai Nam Sua temple - 171 year celebration</t>
  </si>
  <si>
    <t>海南山天公神壇</t>
  </si>
  <si>
    <t>Nine Emperor Gods Festival</t>
  </si>
  <si>
    <t>九皇爷诞</t>
  </si>
  <si>
    <t>SG Assist</t>
  </si>
  <si>
    <t>Visit to SG Assist, 4-5pm</t>
  </si>
  <si>
    <t>职员培训: 急救培训</t>
  </si>
  <si>
    <t>Staff training : First-Aid</t>
  </si>
  <si>
    <t>Staff Training - First-Aid. 职员培训: 急救培训</t>
  </si>
  <si>
    <t>Sponsor a HUG Campaign (official launch). (In charge: Chi Hwee, Jin Hoa)</t>
  </si>
  <si>
    <t>[Tentative] Wishing Tree</t>
  </si>
  <si>
    <t>Wishing Tree</t>
  </si>
  <si>
    <t>[Tentative] Sunrise Charity Walk 2028</t>
  </si>
  <si>
    <t>日出义走2028</t>
  </si>
  <si>
    <t>[Tentative] Charity Concert 2028</t>
  </si>
  <si>
    <t>[Tentative] Charity Golf 2028</t>
  </si>
  <si>
    <t>Charity Golf</t>
  </si>
  <si>
    <t>[Tentative] Sponsor a HUG Campaign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</si>
</sst>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63"/>
  <sheetViews>
    <sheetView tabSelected="1" workbookViewId="0">
      <pane ySplit="1" topLeftCell="A94" activePane="bottomLeft" state="frozen"/>
      <selection activeCell="C1" sqref="C1"/>
      <selection pane="bottomLeft" activeCell="C169" sqref="C169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472</v>
      </c>
      <c r="D2" s="30" t="s">
        <v>473</v>
      </c>
      <c r="E2" s="34" t="s">
        <v>450</v>
      </c>
      <c r="F2" s="27" t="s">
        <v>480</v>
      </c>
    </row>
    <row r="3" spans="1:6" x14ac:dyDescent="0.35">
      <c r="A3" s="31">
        <f>DATE(2026,1,1)</f>
        <v>46023</v>
      </c>
      <c r="B3" s="32" t="str">
        <f t="shared" ref="B3:B88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550</v>
      </c>
      <c r="D4" s="44" t="s">
        <v>551</v>
      </c>
      <c r="E4" s="25" t="s">
        <v>129</v>
      </c>
      <c r="F4" s="25" t="s">
        <v>547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466</v>
      </c>
      <c r="D6" s="37" t="s">
        <v>467</v>
      </c>
      <c r="E6" s="39" t="s">
        <v>450</v>
      </c>
      <c r="F6" s="25" t="s">
        <v>481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468</v>
      </c>
      <c r="D7" s="11" t="s">
        <v>469</v>
      </c>
      <c r="E7" s="38" t="s">
        <v>450</v>
      </c>
      <c r="F7" s="25" t="s">
        <v>481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552</v>
      </c>
      <c r="D12" s="16" t="s">
        <v>554</v>
      </c>
      <c r="E12" s="38" t="s">
        <v>461</v>
      </c>
      <c r="F12" s="25" t="s">
        <v>482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553</v>
      </c>
      <c r="D13" s="44" t="s">
        <v>555</v>
      </c>
      <c r="E13" s="25" t="s">
        <v>129</v>
      </c>
      <c r="F13" s="25" t="s">
        <v>547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462</v>
      </c>
      <c r="D17" s="11" t="s">
        <v>463</v>
      </c>
      <c r="E17" s="38" t="s">
        <v>450</v>
      </c>
      <c r="F17" s="25" t="s">
        <v>483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457</v>
      </c>
      <c r="D19" s="11" t="s">
        <v>458</v>
      </c>
      <c r="E19" s="38" t="s">
        <v>450</v>
      </c>
      <c r="F19" s="25" t="s">
        <v>484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563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494</v>
      </c>
      <c r="D24" s="11" t="s">
        <v>495</v>
      </c>
      <c r="E24" s="38" t="s">
        <v>461</v>
      </c>
      <c r="F24" s="25" t="s">
        <v>485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455</v>
      </c>
      <c r="D27" s="37" t="s">
        <v>456</v>
      </c>
      <c r="E27" s="39" t="s">
        <v>450</v>
      </c>
      <c r="F27" s="25" t="s">
        <v>486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478</v>
      </c>
      <c r="D28" s="11" t="s">
        <v>479</v>
      </c>
      <c r="E28" s="38" t="s">
        <v>450</v>
      </c>
      <c r="F28" s="25" t="s">
        <v>487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546</v>
      </c>
      <c r="D35" s="25" t="s">
        <v>545</v>
      </c>
      <c r="E35" s="25" t="s">
        <v>129</v>
      </c>
      <c r="F35" s="25" t="s">
        <v>547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453</v>
      </c>
      <c r="D42" s="37" t="s">
        <v>454</v>
      </c>
      <c r="E42" s="39" t="s">
        <v>450</v>
      </c>
      <c r="F42" s="25" t="s">
        <v>488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476</v>
      </c>
      <c r="D43" s="11" t="s">
        <v>477</v>
      </c>
      <c r="E43" s="38" t="s">
        <v>450</v>
      </c>
      <c r="F43" s="25" t="s">
        <v>489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504</v>
      </c>
      <c r="D44" s="43" t="s">
        <v>505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496</v>
      </c>
      <c r="D47" s="11" t="s">
        <v>497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532</v>
      </c>
      <c r="D52" s="21"/>
      <c r="E52" s="11" t="s">
        <v>226</v>
      </c>
      <c r="F52" s="25" t="s">
        <v>531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506</v>
      </c>
      <c r="D53" s="16" t="s">
        <v>507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508</v>
      </c>
      <c r="D55" s="16" t="s">
        <v>509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447</v>
      </c>
      <c r="D56" s="11" t="s">
        <v>446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511</v>
      </c>
      <c r="D57" s="11"/>
      <c r="E57" s="11" t="s">
        <v>226</v>
      </c>
      <c r="F57" s="25" t="s">
        <v>510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538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520</v>
      </c>
      <c r="D59" s="11"/>
      <c r="E59" s="11" t="s">
        <v>226</v>
      </c>
      <c r="F59" s="25" t="s">
        <v>519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541</v>
      </c>
      <c r="D60" s="16" t="s">
        <v>542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445</v>
      </c>
      <c r="D61" s="16" t="s">
        <v>214</v>
      </c>
      <c r="E61" s="11" t="s">
        <v>218</v>
      </c>
      <c r="F61" s="25" t="s">
        <v>513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521</v>
      </c>
      <c r="D62" s="16"/>
      <c r="E62" s="11" t="s">
        <v>226</v>
      </c>
      <c r="F62" s="25" t="s">
        <v>522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539</v>
      </c>
      <c r="D63" s="16" t="s">
        <v>540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530</v>
      </c>
      <c r="D64" s="16"/>
      <c r="E64" s="11" t="s">
        <v>129</v>
      </c>
      <c r="F64" s="25" t="s">
        <v>500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533</v>
      </c>
      <c r="D66" s="16"/>
      <c r="E66" s="11" t="s">
        <v>129</v>
      </c>
      <c r="F66" s="25" t="s">
        <v>534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523</v>
      </c>
      <c r="D67" s="11"/>
      <c r="E67" s="11" t="s">
        <v>131</v>
      </c>
      <c r="F67" s="25" t="s">
        <v>512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498</v>
      </c>
      <c r="D69" s="11"/>
      <c r="E69" s="11" t="s">
        <v>131</v>
      </c>
      <c r="F69" s="25" t="s">
        <v>499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501</v>
      </c>
      <c r="D70" s="11" t="s">
        <v>503</v>
      </c>
      <c r="E70" s="11" t="s">
        <v>121</v>
      </c>
      <c r="F70" s="25" t="s">
        <v>502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515</v>
      </c>
      <c r="D71" s="11" t="s">
        <v>514</v>
      </c>
      <c r="E71" s="11" t="s">
        <v>129</v>
      </c>
      <c r="F71" s="25" t="s">
        <v>516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524</v>
      </c>
      <c r="D72" s="11" t="s">
        <v>163</v>
      </c>
      <c r="E72" s="11" t="s">
        <v>124</v>
      </c>
      <c r="F72" s="25" t="s">
        <v>525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535</v>
      </c>
      <c r="D73" s="11"/>
      <c r="E73" s="11" t="s">
        <v>129</v>
      </c>
      <c r="F73" s="25" t="s">
        <v>526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536</v>
      </c>
      <c r="D74" s="11"/>
      <c r="E74" s="11" t="s">
        <v>129</v>
      </c>
      <c r="F74" s="25" t="s">
        <v>537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543</v>
      </c>
      <c r="F75" s="25" t="s">
        <v>544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528</v>
      </c>
      <c r="D78" s="11"/>
      <c r="E78" s="11" t="s">
        <v>129</v>
      </c>
      <c r="F78" s="25" t="s">
        <v>527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556</v>
      </c>
      <c r="D79" s="37"/>
      <c r="E79" s="37" t="s">
        <v>226</v>
      </c>
      <c r="F79" s="25" t="s">
        <v>529</v>
      </c>
    </row>
    <row r="80" spans="1:6" x14ac:dyDescent="0.35">
      <c r="A80" s="12">
        <f>DATE(2026,10,16)</f>
        <v>46311</v>
      </c>
      <c r="B80" s="13" t="str">
        <f>TEXT($A80,"ddd")</f>
        <v>Fri</v>
      </c>
      <c r="C80" s="40" t="s">
        <v>595</v>
      </c>
      <c r="D80" s="37"/>
      <c r="E80" s="37" t="s">
        <v>226</v>
      </c>
      <c r="F80" s="44" t="s">
        <v>596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575</v>
      </c>
      <c r="D81" s="16" t="s">
        <v>578</v>
      </c>
      <c r="E81" s="11" t="s">
        <v>218</v>
      </c>
      <c r="F81" s="25" t="s">
        <v>425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548</v>
      </c>
      <c r="D82" s="25" t="s">
        <v>549</v>
      </c>
      <c r="E82" s="25" t="s">
        <v>129</v>
      </c>
      <c r="F82" s="25" t="s">
        <v>547</v>
      </c>
    </row>
    <row r="83" spans="1:6" x14ac:dyDescent="0.35">
      <c r="A83" s="12">
        <f>DATE(2026,10,21)</f>
        <v>46316</v>
      </c>
      <c r="B83" s="13" t="str">
        <f>TEXT($A83,"ddd")</f>
        <v>Wed</v>
      </c>
      <c r="C83" s="40" t="s">
        <v>597</v>
      </c>
      <c r="D83" s="37"/>
      <c r="E83" s="37" t="s">
        <v>226</v>
      </c>
      <c r="F83" s="44" t="s">
        <v>598</v>
      </c>
    </row>
    <row r="84" spans="1:6" x14ac:dyDescent="0.35">
      <c r="A84" s="12">
        <f>DATE(2026,10,23)</f>
        <v>46318</v>
      </c>
      <c r="B84" s="13" t="str">
        <f t="shared" si="0"/>
        <v>Fri</v>
      </c>
      <c r="C84" s="16" t="s">
        <v>576</v>
      </c>
      <c r="D84" s="16" t="s">
        <v>579</v>
      </c>
      <c r="E84" s="11" t="s">
        <v>218</v>
      </c>
      <c r="F84" s="25" t="s">
        <v>425</v>
      </c>
    </row>
    <row r="85" spans="1:6" x14ac:dyDescent="0.35">
      <c r="A85" s="12">
        <f>DATE(2026,10,24)</f>
        <v>46319</v>
      </c>
      <c r="B85" s="13" t="str">
        <f t="shared" si="0"/>
        <v>Sat</v>
      </c>
      <c r="C85" s="16" t="s">
        <v>577</v>
      </c>
      <c r="D85" s="16" t="s">
        <v>580</v>
      </c>
      <c r="E85" s="11" t="s">
        <v>218</v>
      </c>
      <c r="F85" s="25" t="s">
        <v>425</v>
      </c>
    </row>
    <row r="86" spans="1:6" x14ac:dyDescent="0.35">
      <c r="A86" s="12">
        <f>DATE(2026,10,26)</f>
        <v>46321</v>
      </c>
      <c r="B86" s="42" t="str">
        <f t="shared" si="0"/>
        <v>Mon</v>
      </c>
      <c r="C86" s="25" t="s">
        <v>558</v>
      </c>
      <c r="D86" s="25" t="s">
        <v>557</v>
      </c>
      <c r="E86" s="25" t="s">
        <v>124</v>
      </c>
      <c r="F86" s="25" t="s">
        <v>559</v>
      </c>
    </row>
    <row r="87" spans="1:6" x14ac:dyDescent="0.35">
      <c r="A87" s="12">
        <f>DATE(2026,10,27)</f>
        <v>46322</v>
      </c>
      <c r="B87" s="42" t="str">
        <f t="shared" si="0"/>
        <v>Tue</v>
      </c>
      <c r="C87" s="25" t="s">
        <v>560</v>
      </c>
      <c r="D87" s="25"/>
      <c r="E87" s="25" t="s">
        <v>124</v>
      </c>
      <c r="F87" s="25" t="s">
        <v>561</v>
      </c>
    </row>
    <row r="88" spans="1:6" x14ac:dyDescent="0.35">
      <c r="A88" s="12">
        <f>DATE(2026,10,28)</f>
        <v>46323</v>
      </c>
      <c r="B88" s="42" t="str">
        <f t="shared" si="0"/>
        <v>Wed</v>
      </c>
      <c r="C88" s="44" t="s">
        <v>599</v>
      </c>
      <c r="D88" s="44" t="s">
        <v>600</v>
      </c>
      <c r="E88" s="44" t="s">
        <v>218</v>
      </c>
      <c r="F88" s="44" t="s">
        <v>600</v>
      </c>
    </row>
    <row r="89" spans="1:6" x14ac:dyDescent="0.35">
      <c r="A89" s="35">
        <f>DATE(2026,11,3)</f>
        <v>46329</v>
      </c>
      <c r="B89" s="36" t="str">
        <f t="shared" ref="B89:B147" si="2">TEXT($A89,"ddd")</f>
        <v>Tue</v>
      </c>
      <c r="C89" s="40" t="s">
        <v>574</v>
      </c>
      <c r="D89" s="40" t="s">
        <v>573</v>
      </c>
      <c r="E89" s="37" t="s">
        <v>121</v>
      </c>
      <c r="F89" s="25" t="s">
        <v>427</v>
      </c>
    </row>
    <row r="90" spans="1:6" x14ac:dyDescent="0.35">
      <c r="A90" s="35">
        <f>DATE(2026,11,3)</f>
        <v>46329</v>
      </c>
      <c r="B90" s="36" t="str">
        <f t="shared" si="2"/>
        <v>Tue</v>
      </c>
      <c r="C90" s="40" t="s">
        <v>591</v>
      </c>
      <c r="D90" s="40" t="s">
        <v>592</v>
      </c>
      <c r="E90" s="37" t="s">
        <v>121</v>
      </c>
      <c r="F90" s="44" t="s">
        <v>593</v>
      </c>
    </row>
    <row r="91" spans="1:6" x14ac:dyDescent="0.35">
      <c r="A91" s="35">
        <f>DATE(2026,11,4)</f>
        <v>46330</v>
      </c>
      <c r="B91" s="36" t="str">
        <f t="shared" si="2"/>
        <v>Wed</v>
      </c>
      <c r="C91" s="40" t="s">
        <v>606</v>
      </c>
      <c r="D91" s="40" t="s">
        <v>605</v>
      </c>
      <c r="E91" s="40" t="s">
        <v>129</v>
      </c>
      <c r="F91" s="44" t="s">
        <v>607</v>
      </c>
    </row>
    <row r="92" spans="1:6" x14ac:dyDescent="0.35">
      <c r="A92" s="35">
        <f>DATE(2026,11,4)</f>
        <v>46330</v>
      </c>
      <c r="B92" s="36" t="str">
        <f t="shared" si="2"/>
        <v>Wed</v>
      </c>
      <c r="C92" s="40" t="s">
        <v>604</v>
      </c>
      <c r="D92" s="40"/>
      <c r="E92" s="37" t="s">
        <v>226</v>
      </c>
      <c r="F92" s="44" t="s">
        <v>603</v>
      </c>
    </row>
    <row r="93" spans="1:6" x14ac:dyDescent="0.35">
      <c r="A93" s="35">
        <f>DATE(2026,11,7)</f>
        <v>46333</v>
      </c>
      <c r="B93" s="36" t="str">
        <f t="shared" si="2"/>
        <v>Sat</v>
      </c>
      <c r="C93" s="40" t="s">
        <v>594</v>
      </c>
      <c r="D93" s="40" t="s">
        <v>592</v>
      </c>
      <c r="E93" s="37" t="s">
        <v>121</v>
      </c>
      <c r="F93" s="44" t="s">
        <v>593</v>
      </c>
    </row>
    <row r="94" spans="1:6" x14ac:dyDescent="0.35">
      <c r="A94" s="35">
        <f>DATE(2026,11,8)</f>
        <v>46334</v>
      </c>
      <c r="B94" s="36" t="str">
        <f>TEXT($A94,"ddd")</f>
        <v>Sun</v>
      </c>
      <c r="C94" s="37" t="s">
        <v>451</v>
      </c>
      <c r="D94" s="37" t="s">
        <v>452</v>
      </c>
      <c r="E94" s="39" t="s">
        <v>450</v>
      </c>
      <c r="F94" s="25" t="s">
        <v>490</v>
      </c>
    </row>
    <row r="95" spans="1:6" x14ac:dyDescent="0.35">
      <c r="A95" s="12">
        <f>DATE(2026,11,9)</f>
        <v>46335</v>
      </c>
      <c r="B95" s="13" t="str">
        <f>TEXT($A95,"ddd")</f>
        <v>Mon</v>
      </c>
      <c r="C95" s="11" t="s">
        <v>474</v>
      </c>
      <c r="D95" s="11" t="s">
        <v>475</v>
      </c>
      <c r="E95" s="38" t="s">
        <v>450</v>
      </c>
      <c r="F95" s="25" t="s">
        <v>491</v>
      </c>
    </row>
    <row r="96" spans="1:6" x14ac:dyDescent="0.35">
      <c r="A96" s="12">
        <f>DATE(2026,11,19)</f>
        <v>46345</v>
      </c>
      <c r="B96" s="13" t="str">
        <f>TEXT($A96,"ddd")</f>
        <v>Thu</v>
      </c>
      <c r="C96" s="16" t="s">
        <v>587</v>
      </c>
      <c r="D96" s="16" t="s">
        <v>586</v>
      </c>
      <c r="E96" s="46" t="s">
        <v>129</v>
      </c>
      <c r="F96" s="44" t="s">
        <v>588</v>
      </c>
    </row>
    <row r="97" spans="1:6" x14ac:dyDescent="0.35">
      <c r="A97" s="12">
        <f>DATE(2026,11,25)</f>
        <v>46351</v>
      </c>
      <c r="B97" s="13" t="str">
        <f>TEXT($A97,"ddd")</f>
        <v>Wed</v>
      </c>
      <c r="C97" s="16" t="s">
        <v>584</v>
      </c>
      <c r="D97" s="16" t="s">
        <v>585</v>
      </c>
      <c r="E97" s="11" t="s">
        <v>121</v>
      </c>
      <c r="F97" s="25" t="s">
        <v>397</v>
      </c>
    </row>
    <row r="98" spans="1:6" x14ac:dyDescent="0.35">
      <c r="A98" s="31">
        <f>DATE(2026,11,28)</f>
        <v>46354</v>
      </c>
      <c r="B98" s="32" t="str">
        <f t="shared" si="2"/>
        <v>Sat</v>
      </c>
      <c r="C98" s="43" t="s">
        <v>572</v>
      </c>
      <c r="D98" s="33"/>
      <c r="E98" s="33" t="s">
        <v>124</v>
      </c>
      <c r="F98" s="25" t="s">
        <v>428</v>
      </c>
    </row>
    <row r="99" spans="1:6" x14ac:dyDescent="0.35">
      <c r="A99" s="35">
        <f>DATE(2026,12,7)</f>
        <v>46363</v>
      </c>
      <c r="B99" s="36" t="str">
        <f t="shared" si="2"/>
        <v>Mon</v>
      </c>
      <c r="C99" s="40" t="s">
        <v>568</v>
      </c>
      <c r="D99" s="40" t="s">
        <v>569</v>
      </c>
      <c r="E99" s="40" t="s">
        <v>218</v>
      </c>
      <c r="F99" s="40" t="s">
        <v>567</v>
      </c>
    </row>
    <row r="100" spans="1:6" x14ac:dyDescent="0.35">
      <c r="A100" s="35">
        <f>DATE(2026,12,7)</f>
        <v>46363</v>
      </c>
      <c r="B100" s="36" t="str">
        <f t="shared" si="2"/>
        <v>Mon</v>
      </c>
      <c r="C100" s="40" t="s">
        <v>570</v>
      </c>
      <c r="D100" s="40"/>
      <c r="E100" s="40" t="s">
        <v>121</v>
      </c>
      <c r="F100" s="40" t="s">
        <v>571</v>
      </c>
    </row>
    <row r="101" spans="1:6" x14ac:dyDescent="0.35">
      <c r="A101" s="35">
        <f>DATE(2026,12,11)</f>
        <v>46367</v>
      </c>
      <c r="B101" s="36" t="str">
        <f t="shared" si="2"/>
        <v>Fri</v>
      </c>
      <c r="C101" s="40" t="s">
        <v>564</v>
      </c>
      <c r="D101" s="40" t="s">
        <v>565</v>
      </c>
      <c r="E101" s="40" t="s">
        <v>218</v>
      </c>
      <c r="F101" s="44" t="s">
        <v>566</v>
      </c>
    </row>
    <row r="102" spans="1:6" x14ac:dyDescent="0.35">
      <c r="A102" s="35">
        <f>DATE(2026,12,25)</f>
        <v>46381</v>
      </c>
      <c r="B102" s="36" t="str">
        <f>TEXT($A102,"ddd")</f>
        <v>Fri</v>
      </c>
      <c r="C102" s="40" t="s">
        <v>609</v>
      </c>
      <c r="D102" s="37"/>
      <c r="E102" s="33" t="s">
        <v>131</v>
      </c>
      <c r="F102" s="44" t="s">
        <v>610</v>
      </c>
    </row>
    <row r="103" spans="1:6" x14ac:dyDescent="0.35">
      <c r="A103" s="35">
        <f>DATE(2026,12,25)</f>
        <v>46381</v>
      </c>
      <c r="B103" s="36" t="str">
        <f>TEXT($A103,"ddd")</f>
        <v>Fri</v>
      </c>
      <c r="C103" s="37" t="s">
        <v>448</v>
      </c>
      <c r="D103" s="37" t="s">
        <v>449</v>
      </c>
      <c r="E103" s="39" t="s">
        <v>450</v>
      </c>
      <c r="F103" s="25" t="s">
        <v>492</v>
      </c>
    </row>
    <row r="104" spans="1:6" x14ac:dyDescent="0.35">
      <c r="A104" s="12">
        <f>DATE(2027,1,1)</f>
        <v>46388</v>
      </c>
      <c r="B104" s="13" t="str">
        <f>TEXT($A104,"ddd")</f>
        <v>Fri</v>
      </c>
      <c r="C104" s="11" t="s">
        <v>472</v>
      </c>
      <c r="D104" s="11" t="s">
        <v>473</v>
      </c>
      <c r="E104" s="38" t="s">
        <v>450</v>
      </c>
      <c r="F104" s="25" t="s">
        <v>480</v>
      </c>
    </row>
    <row r="105" spans="1:6" x14ac:dyDescent="0.35">
      <c r="A105" s="31">
        <f>DATE(2027,1,1)</f>
        <v>46388</v>
      </c>
      <c r="B105" s="32" t="str">
        <f t="shared" si="2"/>
        <v>Fri</v>
      </c>
      <c r="C105" s="43" t="s">
        <v>217</v>
      </c>
      <c r="D105" s="33" t="s">
        <v>196</v>
      </c>
      <c r="E105" s="33" t="s">
        <v>131</v>
      </c>
      <c r="F105" s="25" t="s">
        <v>388</v>
      </c>
    </row>
    <row r="106" spans="1:6" x14ac:dyDescent="0.35">
      <c r="A106" s="35">
        <f>DATE(2027,1,15)</f>
        <v>46402</v>
      </c>
      <c r="B106" s="36" t="str">
        <f t="shared" si="2"/>
        <v>Fri</v>
      </c>
      <c r="C106" s="40" t="s">
        <v>589</v>
      </c>
      <c r="D106" s="40" t="s">
        <v>590</v>
      </c>
      <c r="E106" s="37" t="s">
        <v>121</v>
      </c>
      <c r="F106" s="25"/>
    </row>
    <row r="107" spans="1:6" x14ac:dyDescent="0.35">
      <c r="A107" s="35">
        <f>DATE(2027,1,30)</f>
        <v>46417</v>
      </c>
      <c r="B107" s="36" t="str">
        <f t="shared" si="2"/>
        <v>Sat</v>
      </c>
      <c r="C107" s="37" t="s">
        <v>166</v>
      </c>
      <c r="D107" s="37" t="s">
        <v>197</v>
      </c>
      <c r="E107" s="37" t="s">
        <v>121</v>
      </c>
      <c r="F107" s="25" t="s">
        <v>391</v>
      </c>
    </row>
    <row r="108" spans="1:6" x14ac:dyDescent="0.35">
      <c r="A108" s="35">
        <f>DATE(2027,2,6)</f>
        <v>46424</v>
      </c>
      <c r="B108" s="36" t="str">
        <f>TEXT($A108,"ddd")</f>
        <v>Sat</v>
      </c>
      <c r="C108" s="37" t="s">
        <v>466</v>
      </c>
      <c r="D108" s="37" t="s">
        <v>467</v>
      </c>
      <c r="E108" s="39" t="s">
        <v>450</v>
      </c>
      <c r="F108" s="25" t="s">
        <v>481</v>
      </c>
    </row>
    <row r="109" spans="1:6" x14ac:dyDescent="0.35">
      <c r="A109" s="35">
        <f>DATE(2027,2,7)</f>
        <v>46425</v>
      </c>
      <c r="B109" s="36" t="str">
        <f>TEXT($A109,"ddd")</f>
        <v>Sun</v>
      </c>
      <c r="C109" s="37" t="s">
        <v>468</v>
      </c>
      <c r="D109" s="37" t="s">
        <v>469</v>
      </c>
      <c r="E109" s="39" t="s">
        <v>450</v>
      </c>
      <c r="F109" s="25" t="s">
        <v>481</v>
      </c>
    </row>
    <row r="110" spans="1:6" x14ac:dyDescent="0.35">
      <c r="A110" s="12">
        <f>DATE(2027,2,8)</f>
        <v>46426</v>
      </c>
      <c r="B110" s="13" t="str">
        <f>TEXT($A110,"ddd")</f>
        <v>Mon</v>
      </c>
      <c r="C110" s="11" t="s">
        <v>470</v>
      </c>
      <c r="D110" s="11" t="s">
        <v>471</v>
      </c>
      <c r="E110" s="38" t="s">
        <v>450</v>
      </c>
      <c r="F110" s="25" t="s">
        <v>493</v>
      </c>
    </row>
    <row r="111" spans="1:6" x14ac:dyDescent="0.35">
      <c r="A111" s="41">
        <f>DATE(2027,2,18)</f>
        <v>46436</v>
      </c>
      <c r="B111" s="42" t="str">
        <f t="shared" si="2"/>
        <v>Thu</v>
      </c>
      <c r="C111" s="25" t="s">
        <v>220</v>
      </c>
      <c r="D111" s="25" t="s">
        <v>221</v>
      </c>
      <c r="E111" s="25" t="s">
        <v>219</v>
      </c>
      <c r="F111" s="26" t="s">
        <v>392</v>
      </c>
    </row>
    <row r="112" spans="1:6" x14ac:dyDescent="0.35">
      <c r="A112" s="12">
        <f>DATE(2027,3,6)</f>
        <v>46452</v>
      </c>
      <c r="B112" s="13" t="str">
        <f>TEXT($A112,"ddd")</f>
        <v>Sat</v>
      </c>
      <c r="C112" s="11" t="s">
        <v>517</v>
      </c>
      <c r="D112" s="11" t="s">
        <v>518</v>
      </c>
      <c r="E112" s="11" t="s">
        <v>124</v>
      </c>
      <c r="F112" s="25" t="s">
        <v>422</v>
      </c>
    </row>
    <row r="113" spans="1:6" x14ac:dyDescent="0.35">
      <c r="A113" s="12">
        <f>DATE(2027,3,10)</f>
        <v>46456</v>
      </c>
      <c r="B113" s="13" t="str">
        <f>TEXT($A113,"ddd")</f>
        <v>Wed</v>
      </c>
      <c r="C113" s="11" t="s">
        <v>464</v>
      </c>
      <c r="D113" s="11" t="s">
        <v>465</v>
      </c>
      <c r="E113" s="38" t="s">
        <v>461</v>
      </c>
      <c r="F113" s="25" t="s">
        <v>482</v>
      </c>
    </row>
    <row r="114" spans="1:6" x14ac:dyDescent="0.35">
      <c r="A114" s="31">
        <f>DATE(2027,3,19)</f>
        <v>46465</v>
      </c>
      <c r="B114" s="32" t="str">
        <f t="shared" si="2"/>
        <v>Fri</v>
      </c>
      <c r="C114" s="33" t="s">
        <v>167</v>
      </c>
      <c r="D114" s="33" t="s">
        <v>198</v>
      </c>
      <c r="E114" s="33" t="s">
        <v>124</v>
      </c>
      <c r="F114" s="26" t="s">
        <v>426</v>
      </c>
    </row>
    <row r="115" spans="1:6" x14ac:dyDescent="0.35">
      <c r="A115" s="35">
        <f>DATE(2027,3,25)</f>
        <v>46471</v>
      </c>
      <c r="B115" s="36" t="str">
        <f t="shared" si="2"/>
        <v>Thu</v>
      </c>
      <c r="C115" s="37" t="s">
        <v>168</v>
      </c>
      <c r="D115" s="37" t="s">
        <v>199</v>
      </c>
      <c r="E115" s="37" t="s">
        <v>121</v>
      </c>
      <c r="F115" s="26" t="s">
        <v>399</v>
      </c>
    </row>
    <row r="116" spans="1:6" x14ac:dyDescent="0.35">
      <c r="A116" s="12">
        <f>DATE(2027,3,26)</f>
        <v>46472</v>
      </c>
      <c r="B116" s="13" t="str">
        <f>TEXT($A116,"ddd")</f>
        <v>Fri</v>
      </c>
      <c r="C116" s="11" t="s">
        <v>462</v>
      </c>
      <c r="D116" s="11" t="s">
        <v>463</v>
      </c>
      <c r="E116" s="38" t="s">
        <v>450</v>
      </c>
      <c r="F116" s="25" t="s">
        <v>483</v>
      </c>
    </row>
    <row r="117" spans="1:6" x14ac:dyDescent="0.35">
      <c r="A117" s="31">
        <f>DATE(2027,4,17)</f>
        <v>46494</v>
      </c>
      <c r="B117" s="36" t="str">
        <f>TEXT($A117,"ddd")</f>
        <v>Sat</v>
      </c>
      <c r="C117" s="40" t="s">
        <v>608</v>
      </c>
      <c r="D117" s="40"/>
      <c r="E117" s="37" t="s">
        <v>131</v>
      </c>
      <c r="F117" s="25" t="s">
        <v>429</v>
      </c>
    </row>
    <row r="118" spans="1:6" x14ac:dyDescent="0.35">
      <c r="A118" s="31">
        <f>DATE(2027,4,17)</f>
        <v>46494</v>
      </c>
      <c r="B118" s="32" t="str">
        <f>TEXT($A118,"ddd")</f>
        <v>Sat</v>
      </c>
      <c r="C118" s="43" t="s">
        <v>581</v>
      </c>
      <c r="D118" s="43" t="s">
        <v>582</v>
      </c>
      <c r="E118" s="43" t="s">
        <v>131</v>
      </c>
      <c r="F118" s="45" t="s">
        <v>583</v>
      </c>
    </row>
    <row r="119" spans="1:6" x14ac:dyDescent="0.35">
      <c r="A119" s="35">
        <f>DATE(2027,5,1)</f>
        <v>46508</v>
      </c>
      <c r="B119" s="36" t="str">
        <f>TEXT($A119,"ddd")</f>
        <v>Sat</v>
      </c>
      <c r="C119" s="37" t="s">
        <v>457</v>
      </c>
      <c r="D119" s="37" t="s">
        <v>458</v>
      </c>
      <c r="E119" s="39" t="s">
        <v>450</v>
      </c>
      <c r="F119" s="25" t="s">
        <v>484</v>
      </c>
    </row>
    <row r="120" spans="1:6" x14ac:dyDescent="0.35">
      <c r="A120" s="12">
        <f>DATE(2027,5,17)</f>
        <v>46524</v>
      </c>
      <c r="B120" s="13" t="str">
        <f>TEXT($A120,"ddd")</f>
        <v>Mon</v>
      </c>
      <c r="C120" s="11" t="s">
        <v>459</v>
      </c>
      <c r="D120" s="11" t="s">
        <v>460</v>
      </c>
      <c r="E120" s="38" t="s">
        <v>461</v>
      </c>
      <c r="F120" s="25" t="s">
        <v>485</v>
      </c>
    </row>
    <row r="121" spans="1:6" x14ac:dyDescent="0.35">
      <c r="A121" s="41">
        <f>DATE(2027,5,19)</f>
        <v>46526</v>
      </c>
      <c r="B121" s="42" t="str">
        <f t="shared" si="2"/>
        <v>Wed</v>
      </c>
      <c r="C121" s="25" t="s">
        <v>169</v>
      </c>
      <c r="D121" s="25" t="s">
        <v>200</v>
      </c>
      <c r="E121" s="25" t="s">
        <v>218</v>
      </c>
      <c r="F121" s="26" t="s">
        <v>400</v>
      </c>
    </row>
    <row r="122" spans="1:6" x14ac:dyDescent="0.35">
      <c r="A122" s="12">
        <f>DATE(2027,5,20)</f>
        <v>46527</v>
      </c>
      <c r="B122" s="13" t="str">
        <f>TEXT($A122,"ddd")</f>
        <v>Thu</v>
      </c>
      <c r="C122" s="11" t="s">
        <v>455</v>
      </c>
      <c r="D122" s="11" t="s">
        <v>456</v>
      </c>
      <c r="E122" s="38" t="s">
        <v>450</v>
      </c>
      <c r="F122" s="25" t="s">
        <v>486</v>
      </c>
    </row>
    <row r="123" spans="1:6" x14ac:dyDescent="0.35">
      <c r="A123" s="31">
        <f>DATE(2027,5,20)</f>
        <v>46527</v>
      </c>
      <c r="B123" s="32" t="str">
        <f t="shared" si="2"/>
        <v>Thu</v>
      </c>
      <c r="C123" s="33" t="s">
        <v>170</v>
      </c>
      <c r="D123" s="33" t="s">
        <v>201</v>
      </c>
      <c r="E123" s="33" t="s">
        <v>218</v>
      </c>
      <c r="F123" s="26" t="s">
        <v>400</v>
      </c>
    </row>
    <row r="124" spans="1:6" x14ac:dyDescent="0.35">
      <c r="A124" s="12">
        <f>DATE(2027,5,21)</f>
        <v>46528</v>
      </c>
      <c r="B124" s="13" t="str">
        <f t="shared" si="2"/>
        <v>Fri</v>
      </c>
      <c r="C124" s="11" t="s">
        <v>171</v>
      </c>
      <c r="D124" s="11" t="s">
        <v>202</v>
      </c>
      <c r="E124" s="11" t="s">
        <v>218</v>
      </c>
      <c r="F124" s="26" t="s">
        <v>400</v>
      </c>
    </row>
    <row r="125" spans="1:6" x14ac:dyDescent="0.35">
      <c r="A125" s="12">
        <f>DATE(2027,5,28)</f>
        <v>46535</v>
      </c>
      <c r="B125" s="13" t="str">
        <f t="shared" si="2"/>
        <v>Fri</v>
      </c>
      <c r="C125" s="11" t="s">
        <v>172</v>
      </c>
      <c r="D125" s="11" t="s">
        <v>203</v>
      </c>
      <c r="E125" s="11" t="s">
        <v>121</v>
      </c>
      <c r="F125" s="26" t="s">
        <v>431</v>
      </c>
    </row>
    <row r="126" spans="1:6" x14ac:dyDescent="0.35">
      <c r="A126" s="12">
        <f>DATE(2027,6,11)</f>
        <v>46549</v>
      </c>
      <c r="B126" s="13" t="str">
        <f t="shared" si="2"/>
        <v>Fri</v>
      </c>
      <c r="C126" s="11" t="s">
        <v>236</v>
      </c>
      <c r="D126" s="11" t="s">
        <v>198</v>
      </c>
      <c r="E126" s="11" t="s">
        <v>124</v>
      </c>
      <c r="F126" s="26" t="s">
        <v>426</v>
      </c>
    </row>
    <row r="127" spans="1:6" x14ac:dyDescent="0.35">
      <c r="A127" s="12">
        <f>DATE(2027,7,9)</f>
        <v>46577</v>
      </c>
      <c r="B127" s="13" t="str">
        <f t="shared" si="2"/>
        <v>Fri</v>
      </c>
      <c r="C127" s="16" t="s">
        <v>437</v>
      </c>
      <c r="D127" s="11" t="s">
        <v>438</v>
      </c>
      <c r="E127" s="11" t="s">
        <v>124</v>
      </c>
      <c r="F127" s="25" t="s">
        <v>439</v>
      </c>
    </row>
    <row r="128" spans="1:6" x14ac:dyDescent="0.35">
      <c r="A128" s="35">
        <f>DATE(2027,7,30)</f>
        <v>46598</v>
      </c>
      <c r="B128" s="36" t="str">
        <f t="shared" si="2"/>
        <v>Fri</v>
      </c>
      <c r="C128" s="37" t="s">
        <v>173</v>
      </c>
      <c r="D128" s="37" t="s">
        <v>204</v>
      </c>
      <c r="E128" s="37" t="s">
        <v>124</v>
      </c>
      <c r="F128" s="26" t="s">
        <v>426</v>
      </c>
    </row>
    <row r="129" spans="1:6" x14ac:dyDescent="0.35">
      <c r="A129" s="12">
        <f>DATE(2027,8,9)</f>
        <v>46608</v>
      </c>
      <c r="B129" s="13" t="str">
        <f>TEXT($A129,"ddd")</f>
        <v>Mon</v>
      </c>
      <c r="C129" s="11" t="s">
        <v>453</v>
      </c>
      <c r="D129" s="11" t="s">
        <v>454</v>
      </c>
      <c r="E129" s="38" t="s">
        <v>450</v>
      </c>
      <c r="F129" s="25" t="s">
        <v>488</v>
      </c>
    </row>
    <row r="130" spans="1:6" x14ac:dyDescent="0.35">
      <c r="A130" s="31">
        <f>DATE(2027,8,16)</f>
        <v>46615</v>
      </c>
      <c r="B130" s="32" t="str">
        <f t="shared" si="2"/>
        <v>Mon</v>
      </c>
      <c r="C130" s="33" t="s">
        <v>174</v>
      </c>
      <c r="D130" s="33" t="s">
        <v>205</v>
      </c>
      <c r="E130" s="33" t="s">
        <v>218</v>
      </c>
      <c r="F130" s="26" t="s">
        <v>430</v>
      </c>
    </row>
    <row r="131" spans="1:6" x14ac:dyDescent="0.35">
      <c r="A131" s="12">
        <f>DATE(2027,9,10)</f>
        <v>46640</v>
      </c>
      <c r="B131" s="13" t="str">
        <f t="shared" si="2"/>
        <v>Fri</v>
      </c>
      <c r="C131" s="11" t="s">
        <v>167</v>
      </c>
      <c r="D131" s="11" t="s">
        <v>198</v>
      </c>
      <c r="E131" s="11" t="s">
        <v>124</v>
      </c>
      <c r="F131" s="26" t="s">
        <v>426</v>
      </c>
    </row>
    <row r="132" spans="1:6" x14ac:dyDescent="0.35">
      <c r="A132" s="12">
        <f>DATE(2027,9,18)</f>
        <v>46648</v>
      </c>
      <c r="B132" s="13" t="str">
        <f t="shared" si="2"/>
        <v>Sat</v>
      </c>
      <c r="C132" s="11" t="s">
        <v>175</v>
      </c>
      <c r="D132" s="11" t="s">
        <v>206</v>
      </c>
      <c r="E132" s="11" t="s">
        <v>131</v>
      </c>
      <c r="F132" s="26" t="s">
        <v>424</v>
      </c>
    </row>
    <row r="133" spans="1:6" x14ac:dyDescent="0.35">
      <c r="A133" s="12">
        <f>DATE(2027,9,30)</f>
        <v>46660</v>
      </c>
      <c r="B133" s="13" t="str">
        <f t="shared" si="2"/>
        <v>Thu</v>
      </c>
      <c r="C133" s="16" t="s">
        <v>601</v>
      </c>
      <c r="D133" s="16" t="s">
        <v>602</v>
      </c>
      <c r="E133" s="11" t="s">
        <v>218</v>
      </c>
      <c r="F133" s="25" t="s">
        <v>425</v>
      </c>
    </row>
    <row r="134" spans="1:6" x14ac:dyDescent="0.35">
      <c r="A134" s="12">
        <f>DATE(2027,10,1)</f>
        <v>46661</v>
      </c>
      <c r="B134" s="13" t="str">
        <f t="shared" si="2"/>
        <v>Fri</v>
      </c>
      <c r="C134" s="16" t="s">
        <v>601</v>
      </c>
      <c r="D134" s="16" t="s">
        <v>602</v>
      </c>
      <c r="E134" s="11" t="s">
        <v>218</v>
      </c>
      <c r="F134" s="25" t="s">
        <v>425</v>
      </c>
    </row>
    <row r="135" spans="1:6" x14ac:dyDescent="0.35">
      <c r="A135" s="12">
        <f>DATE(2027,10,2)</f>
        <v>46662</v>
      </c>
      <c r="B135" s="13" t="str">
        <f t="shared" si="2"/>
        <v>Sat</v>
      </c>
      <c r="C135" s="16" t="s">
        <v>601</v>
      </c>
      <c r="D135" s="16" t="s">
        <v>602</v>
      </c>
      <c r="E135" s="11" t="s">
        <v>218</v>
      </c>
      <c r="F135" s="25" t="s">
        <v>425</v>
      </c>
    </row>
    <row r="136" spans="1:6" x14ac:dyDescent="0.35">
      <c r="A136" s="12">
        <f>DATE(2027,10,3)</f>
        <v>46663</v>
      </c>
      <c r="B136" s="13" t="str">
        <f t="shared" si="2"/>
        <v>Sun</v>
      </c>
      <c r="C136" s="16" t="s">
        <v>601</v>
      </c>
      <c r="D136" s="16" t="s">
        <v>602</v>
      </c>
      <c r="E136" s="11" t="s">
        <v>218</v>
      </c>
      <c r="F136" s="25" t="s">
        <v>425</v>
      </c>
    </row>
    <row r="137" spans="1:6" x14ac:dyDescent="0.35">
      <c r="A137" s="12">
        <f>DATE(2027,10,4)</f>
        <v>46664</v>
      </c>
      <c r="B137" s="13" t="str">
        <f t="shared" si="2"/>
        <v>Mon</v>
      </c>
      <c r="C137" s="16" t="s">
        <v>601</v>
      </c>
      <c r="D137" s="16" t="s">
        <v>602</v>
      </c>
      <c r="E137" s="11" t="s">
        <v>218</v>
      </c>
      <c r="F137" s="25" t="s">
        <v>425</v>
      </c>
    </row>
    <row r="138" spans="1:6" x14ac:dyDescent="0.35">
      <c r="A138" s="12">
        <f>DATE(2027,10,5)</f>
        <v>46665</v>
      </c>
      <c r="B138" s="13" t="str">
        <f t="shared" si="2"/>
        <v>Tue</v>
      </c>
      <c r="C138" s="16" t="s">
        <v>601</v>
      </c>
      <c r="D138" s="16" t="s">
        <v>602</v>
      </c>
      <c r="E138" s="11" t="s">
        <v>218</v>
      </c>
      <c r="F138" s="25" t="s">
        <v>425</v>
      </c>
    </row>
    <row r="139" spans="1:6" x14ac:dyDescent="0.35">
      <c r="A139" s="12">
        <f>DATE(2027,10,6)</f>
        <v>46666</v>
      </c>
      <c r="B139" s="13" t="str">
        <f t="shared" si="2"/>
        <v>Wed</v>
      </c>
      <c r="C139" s="16" t="s">
        <v>601</v>
      </c>
      <c r="D139" s="16" t="s">
        <v>602</v>
      </c>
      <c r="E139" s="11" t="s">
        <v>218</v>
      </c>
      <c r="F139" s="25" t="s">
        <v>425</v>
      </c>
    </row>
    <row r="140" spans="1:6" x14ac:dyDescent="0.35">
      <c r="A140" s="12">
        <f>DATE(2027,10,7)</f>
        <v>46667</v>
      </c>
      <c r="B140" s="13" t="str">
        <f t="shared" si="2"/>
        <v>Thu</v>
      </c>
      <c r="C140" s="16" t="s">
        <v>601</v>
      </c>
      <c r="D140" s="16" t="s">
        <v>602</v>
      </c>
      <c r="E140" s="11" t="s">
        <v>218</v>
      </c>
      <c r="F140" s="25" t="s">
        <v>425</v>
      </c>
    </row>
    <row r="141" spans="1:6" x14ac:dyDescent="0.35">
      <c r="A141" s="12">
        <f>DATE(2027,10,8)</f>
        <v>46668</v>
      </c>
      <c r="B141" s="13" t="str">
        <f t="shared" si="2"/>
        <v>Fri</v>
      </c>
      <c r="C141" s="16" t="s">
        <v>601</v>
      </c>
      <c r="D141" s="16" t="s">
        <v>602</v>
      </c>
      <c r="E141" s="11" t="s">
        <v>218</v>
      </c>
      <c r="F141" s="25" t="s">
        <v>425</v>
      </c>
    </row>
    <row r="142" spans="1:6" x14ac:dyDescent="0.35">
      <c r="A142" s="35">
        <f>DATE(2027,10,15)</f>
        <v>46675</v>
      </c>
      <c r="B142" s="36" t="str">
        <f t="shared" si="2"/>
        <v>Fri</v>
      </c>
      <c r="C142" s="37" t="s">
        <v>167</v>
      </c>
      <c r="D142" s="37" t="s">
        <v>198</v>
      </c>
      <c r="E142" s="37" t="s">
        <v>124</v>
      </c>
      <c r="F142" s="26" t="s">
        <v>426</v>
      </c>
    </row>
    <row r="143" spans="1:6" x14ac:dyDescent="0.35">
      <c r="A143" s="12">
        <f>DATE(2027,10,28)</f>
        <v>46688</v>
      </c>
      <c r="B143" s="13" t="str">
        <f>TEXT($A143,"ddd")</f>
        <v>Thu</v>
      </c>
      <c r="C143" s="11" t="s">
        <v>451</v>
      </c>
      <c r="D143" s="11" t="s">
        <v>452</v>
      </c>
      <c r="E143" s="38" t="s">
        <v>450</v>
      </c>
      <c r="F143" s="25" t="s">
        <v>490</v>
      </c>
    </row>
    <row r="144" spans="1:6" x14ac:dyDescent="0.35">
      <c r="A144" s="31">
        <f>DATE(2027,11,1)</f>
        <v>46692</v>
      </c>
      <c r="B144" s="36" t="str">
        <f>TEXT($A144,"ddd")</f>
        <v>Mon</v>
      </c>
      <c r="C144" s="40" t="s">
        <v>616</v>
      </c>
      <c r="D144" s="40"/>
      <c r="E144" s="37" t="s">
        <v>131</v>
      </c>
      <c r="F144" s="25" t="s">
        <v>429</v>
      </c>
    </row>
    <row r="145" spans="1:6" x14ac:dyDescent="0.35">
      <c r="A145" s="31">
        <f>DATE(2027,11,12)</f>
        <v>46703</v>
      </c>
      <c r="B145" s="32" t="str">
        <f t="shared" si="2"/>
        <v>Fri</v>
      </c>
      <c r="C145" s="33" t="s">
        <v>167</v>
      </c>
      <c r="D145" s="33" t="s">
        <v>198</v>
      </c>
      <c r="E145" s="33" t="s">
        <v>124</v>
      </c>
      <c r="F145" s="26" t="s">
        <v>426</v>
      </c>
    </row>
    <row r="146" spans="1:6" x14ac:dyDescent="0.35">
      <c r="A146" s="12">
        <f>DATE(2027,11,26)</f>
        <v>46717</v>
      </c>
      <c r="B146" s="13" t="str">
        <f t="shared" si="2"/>
        <v>Fri</v>
      </c>
      <c r="C146" s="16" t="s">
        <v>437</v>
      </c>
      <c r="D146" s="11" t="s">
        <v>438</v>
      </c>
      <c r="E146" s="11" t="s">
        <v>124</v>
      </c>
      <c r="F146" s="25" t="s">
        <v>439</v>
      </c>
    </row>
    <row r="147" spans="1:6" x14ac:dyDescent="0.35">
      <c r="A147" s="35">
        <f>DATE(2027,12,16)</f>
        <v>46737</v>
      </c>
      <c r="B147" s="36" t="str">
        <f t="shared" si="2"/>
        <v>Thu</v>
      </c>
      <c r="C147" s="37" t="s">
        <v>165</v>
      </c>
      <c r="D147" s="40" t="s">
        <v>195</v>
      </c>
      <c r="E147" s="37" t="s">
        <v>131</v>
      </c>
      <c r="F147" s="26" t="s">
        <v>429</v>
      </c>
    </row>
    <row r="148" spans="1:6" x14ac:dyDescent="0.35">
      <c r="A148" s="12">
        <f>DATE(2027,12,25)</f>
        <v>46746</v>
      </c>
      <c r="B148" s="36" t="str">
        <f>TEXT($A148,"ddd")</f>
        <v>Sat</v>
      </c>
      <c r="C148" s="40" t="s">
        <v>609</v>
      </c>
      <c r="D148" s="37"/>
      <c r="E148" s="33" t="s">
        <v>131</v>
      </c>
      <c r="F148" s="44" t="s">
        <v>610</v>
      </c>
    </row>
    <row r="149" spans="1:6" x14ac:dyDescent="0.35">
      <c r="A149" s="12">
        <f>DATE(2027,12,25)</f>
        <v>46746</v>
      </c>
      <c r="B149" s="13" t="str">
        <f>TEXT($A149,"ddd")</f>
        <v>Sat</v>
      </c>
      <c r="C149" s="11" t="s">
        <v>448</v>
      </c>
      <c r="D149" s="11" t="s">
        <v>449</v>
      </c>
      <c r="E149" s="38" t="s">
        <v>450</v>
      </c>
      <c r="F149" s="25" t="s">
        <v>492</v>
      </c>
    </row>
    <row r="150" spans="1:6" x14ac:dyDescent="0.35">
      <c r="A150" s="12">
        <f>DATE(2028,1,1)</f>
        <v>46753</v>
      </c>
      <c r="B150" s="13" t="str">
        <f>TEXT($A150,"ddd")</f>
        <v>Sat</v>
      </c>
      <c r="C150" s="11" t="s">
        <v>472</v>
      </c>
      <c r="D150" s="11" t="s">
        <v>473</v>
      </c>
      <c r="E150" s="38" t="s">
        <v>450</v>
      </c>
      <c r="F150" s="25" t="s">
        <v>480</v>
      </c>
    </row>
    <row r="151" spans="1:6" x14ac:dyDescent="0.35">
      <c r="A151" s="12">
        <f>DATE(2028,4,1)</f>
        <v>46844</v>
      </c>
      <c r="B151" s="32" t="str">
        <f>TEXT($A151,"ddd")</f>
        <v>Sat</v>
      </c>
      <c r="C151" s="43" t="s">
        <v>611</v>
      </c>
      <c r="D151" s="43" t="s">
        <v>612</v>
      </c>
      <c r="E151" s="43" t="s">
        <v>131</v>
      </c>
      <c r="F151" s="45" t="s">
        <v>583</v>
      </c>
    </row>
    <row r="152" spans="1:6" x14ac:dyDescent="0.35">
      <c r="A152" s="12">
        <f>DATE(2028,9,1)</f>
        <v>46997</v>
      </c>
      <c r="B152" s="13" t="str">
        <f t="shared" ref="B152:B153" si="3">TEXT($A152,"ddd")</f>
        <v>Fri</v>
      </c>
      <c r="C152" s="16" t="s">
        <v>613</v>
      </c>
      <c r="D152" s="11" t="s">
        <v>206</v>
      </c>
      <c r="E152" s="11" t="s">
        <v>131</v>
      </c>
      <c r="F152" s="26" t="s">
        <v>424</v>
      </c>
    </row>
    <row r="153" spans="1:6" x14ac:dyDescent="0.35">
      <c r="A153" s="12">
        <f>DATE(2028,10,1)</f>
        <v>47027</v>
      </c>
      <c r="B153" s="13" t="str">
        <f t="shared" si="3"/>
        <v>Sun</v>
      </c>
      <c r="C153" s="16" t="s">
        <v>614</v>
      </c>
      <c r="D153" s="11"/>
      <c r="E153" s="11" t="s">
        <v>131</v>
      </c>
      <c r="F153" s="45" t="s">
        <v>615</v>
      </c>
    </row>
    <row r="154" spans="1:6" x14ac:dyDescent="0.35">
      <c r="A154" s="12">
        <f>DATE(2028,10,18)</f>
        <v>47044</v>
      </c>
      <c r="B154" s="13" t="str">
        <f>TEXT($A154,"ddd")</f>
        <v>Wed</v>
      </c>
      <c r="C154" s="16" t="s">
        <v>601</v>
      </c>
      <c r="D154" s="16" t="s">
        <v>602</v>
      </c>
      <c r="E154" s="11" t="s">
        <v>218</v>
      </c>
      <c r="F154" s="25" t="s">
        <v>425</v>
      </c>
    </row>
    <row r="155" spans="1:6" x14ac:dyDescent="0.35">
      <c r="A155" s="12">
        <f>DATE(2028,10,19)</f>
        <v>47045</v>
      </c>
      <c r="B155" s="13" t="str">
        <f>TEXT($A155,"ddd")</f>
        <v>Thu</v>
      </c>
      <c r="C155" s="16" t="s">
        <v>601</v>
      </c>
      <c r="D155" s="16" t="s">
        <v>602</v>
      </c>
      <c r="E155" s="11" t="s">
        <v>218</v>
      </c>
      <c r="F155" s="25" t="s">
        <v>425</v>
      </c>
    </row>
    <row r="156" spans="1:6" x14ac:dyDescent="0.35">
      <c r="A156" s="12">
        <f>DATE(2028,10,20)</f>
        <v>47046</v>
      </c>
      <c r="B156" s="13" t="str">
        <f>TEXT($A156,"ddd")</f>
        <v>Fri</v>
      </c>
      <c r="C156" s="16" t="s">
        <v>601</v>
      </c>
      <c r="D156" s="16" t="s">
        <v>602</v>
      </c>
      <c r="E156" s="11" t="s">
        <v>218</v>
      </c>
      <c r="F156" s="25" t="s">
        <v>425</v>
      </c>
    </row>
    <row r="157" spans="1:6" x14ac:dyDescent="0.35">
      <c r="A157" s="12">
        <f>DATE(2028,10,21)</f>
        <v>47047</v>
      </c>
      <c r="B157" s="13" t="str">
        <f>TEXT($A157,"ddd")</f>
        <v>Sat</v>
      </c>
      <c r="C157" s="16" t="s">
        <v>601</v>
      </c>
      <c r="D157" s="16" t="s">
        <v>602</v>
      </c>
      <c r="E157" s="11" t="s">
        <v>218</v>
      </c>
      <c r="F157" s="25" t="s">
        <v>425</v>
      </c>
    </row>
    <row r="158" spans="1:6" x14ac:dyDescent="0.35">
      <c r="A158" s="12">
        <f>DATE(2028,10,22)</f>
        <v>47048</v>
      </c>
      <c r="B158" s="13" t="str">
        <f>TEXT($A158,"ddd")</f>
        <v>Sun</v>
      </c>
      <c r="C158" s="16" t="s">
        <v>601</v>
      </c>
      <c r="D158" s="16" t="s">
        <v>602</v>
      </c>
      <c r="E158" s="11" t="s">
        <v>218</v>
      </c>
      <c r="F158" s="25" t="s">
        <v>425</v>
      </c>
    </row>
    <row r="159" spans="1:6" x14ac:dyDescent="0.35">
      <c r="A159" s="12">
        <f>DATE(2028,10,23)</f>
        <v>47049</v>
      </c>
      <c r="B159" s="13" t="str">
        <f>TEXT($A159,"ddd")</f>
        <v>Mon</v>
      </c>
      <c r="C159" s="16" t="s">
        <v>601</v>
      </c>
      <c r="D159" s="16" t="s">
        <v>602</v>
      </c>
      <c r="E159" s="11" t="s">
        <v>218</v>
      </c>
      <c r="F159" s="25" t="s">
        <v>425</v>
      </c>
    </row>
    <row r="160" spans="1:6" x14ac:dyDescent="0.35">
      <c r="A160" s="12">
        <f>DATE(2028,10,24)</f>
        <v>47050</v>
      </c>
      <c r="B160" s="13" t="str">
        <f>TEXT($A160,"ddd")</f>
        <v>Tue</v>
      </c>
      <c r="C160" s="16" t="s">
        <v>601</v>
      </c>
      <c r="D160" s="16" t="s">
        <v>602</v>
      </c>
      <c r="E160" s="11" t="s">
        <v>218</v>
      </c>
      <c r="F160" s="25" t="s">
        <v>425</v>
      </c>
    </row>
    <row r="161" spans="1:6" x14ac:dyDescent="0.35">
      <c r="A161" s="12">
        <f>DATE(2028,10,25)</f>
        <v>47051</v>
      </c>
      <c r="B161" s="13" t="str">
        <f>TEXT($A161,"ddd")</f>
        <v>Wed</v>
      </c>
      <c r="C161" s="16" t="s">
        <v>601</v>
      </c>
      <c r="D161" s="16" t="s">
        <v>602</v>
      </c>
      <c r="E161" s="11" t="s">
        <v>218</v>
      </c>
      <c r="F161" s="25" t="s">
        <v>425</v>
      </c>
    </row>
    <row r="162" spans="1:6" x14ac:dyDescent="0.35">
      <c r="A162" s="12">
        <f>DATE(2028,10,26)</f>
        <v>47052</v>
      </c>
      <c r="B162" s="13" t="str">
        <f>TEXT($A162,"ddd")</f>
        <v>Thu</v>
      </c>
      <c r="C162" s="16" t="s">
        <v>601</v>
      </c>
      <c r="D162" s="16" t="s">
        <v>602</v>
      </c>
      <c r="E162" s="11" t="s">
        <v>218</v>
      </c>
      <c r="F162" s="25" t="s">
        <v>425</v>
      </c>
    </row>
    <row r="163" spans="1:6" x14ac:dyDescent="0.35">
      <c r="A163" s="12">
        <f>DATE(2028,11,1)</f>
        <v>47058</v>
      </c>
      <c r="B163" s="36" t="str">
        <f>TEXT($A163,"ddd")</f>
        <v>Wed</v>
      </c>
      <c r="C163" s="40" t="s">
        <v>616</v>
      </c>
      <c r="D163" s="40"/>
      <c r="E163" s="37" t="s">
        <v>131</v>
      </c>
      <c r="F163" s="25" t="s">
        <v>429</v>
      </c>
    </row>
  </sheetData>
  <autoFilter ref="A1:E149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46321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2026-10-26T09:22:16Z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