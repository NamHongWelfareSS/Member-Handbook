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736" documentId="11_A88C884250063A86F00218599B70D26268CCBE65" xr6:coauthVersionLast="47" xr6:coauthVersionMax="47" xr10:uidLastSave="{E226A840-5827-437B-8D62-955994946661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'1_Events'!$A$1:$E$82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5" l="1"/>
  <c r="B41" i="5" s="1"/>
  <c r="A58" i="5"/>
  <c r="B58" i="5" s="1"/>
  <c r="A32" i="5"/>
  <c r="B32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37" i="5"/>
  <c r="B37" i="5" s="1"/>
  <c r="A46" i="5"/>
  <c r="B46" i="5"/>
  <c r="A47" i="5"/>
  <c r="B47" i="5" s="1"/>
  <c r="A35" i="5"/>
  <c r="B35" i="5"/>
  <c r="A51" i="5"/>
  <c r="B51" i="5"/>
  <c r="A48" i="5"/>
  <c r="B48" i="5" s="1"/>
  <c r="A50" i="5"/>
  <c r="B50" i="5" s="1"/>
  <c r="A28" i="5"/>
  <c r="B28" i="5" s="1"/>
  <c r="A44" i="5"/>
  <c r="B44" i="5"/>
  <c r="A26" i="5"/>
  <c r="B26" i="5"/>
  <c r="A25" i="5"/>
  <c r="B25" i="5" s="1"/>
  <c r="A22" i="5"/>
  <c r="B22" i="5"/>
  <c r="A20" i="5"/>
  <c r="B20" i="5"/>
  <c r="A31" i="5"/>
  <c r="B31" i="5"/>
  <c r="A34" i="5"/>
  <c r="B34" i="5" s="1"/>
  <c r="A49" i="5"/>
  <c r="B49" i="5" s="1"/>
  <c r="A45" i="5"/>
  <c r="B45" i="5" s="1"/>
  <c r="A43" i="5"/>
  <c r="B43" i="5" s="1"/>
  <c r="A40" i="5"/>
  <c r="B40" i="5" s="1"/>
  <c r="A39" i="5"/>
  <c r="B39" i="5"/>
  <c r="A38" i="5"/>
  <c r="B38" i="5"/>
  <c r="A36" i="5"/>
  <c r="B36" i="5"/>
  <c r="A33" i="5"/>
  <c r="B33" i="5" s="1"/>
  <c r="A30" i="5"/>
  <c r="B30" i="5" s="1"/>
  <c r="A29" i="5"/>
  <c r="B29" i="5" s="1"/>
  <c r="A2" i="5"/>
  <c r="B2" i="5" s="1"/>
  <c r="A3" i="5"/>
  <c r="B3" i="5" s="1"/>
  <c r="A4" i="5"/>
  <c r="B4" i="5" s="1"/>
  <c r="A5" i="5"/>
  <c r="B5" i="5" s="1"/>
  <c r="A6" i="5"/>
  <c r="B6" i="5"/>
  <c r="A7" i="5"/>
  <c r="B7" i="5"/>
  <c r="A8" i="5"/>
  <c r="B8" i="5" s="1"/>
  <c r="A9" i="5"/>
  <c r="B9" i="5" s="1"/>
  <c r="A10" i="5"/>
  <c r="B10" i="5"/>
  <c r="A11" i="5"/>
  <c r="B11" i="5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/>
  <c r="A19" i="5"/>
  <c r="B19" i="5"/>
  <c r="A21" i="5"/>
  <c r="B21" i="5" s="1"/>
  <c r="A23" i="5"/>
  <c r="B23" i="5" s="1"/>
  <c r="A24" i="5"/>
  <c r="B24" i="5"/>
  <c r="A27" i="5"/>
  <c r="B27" i="5"/>
  <c r="A42" i="5"/>
  <c r="B42" i="5" s="1"/>
  <c r="A52" i="5"/>
  <c r="B52" i="5"/>
  <c r="A53" i="5"/>
  <c r="B53" i="5" s="1"/>
  <c r="A54" i="5"/>
  <c r="B54" i="5" s="1"/>
  <c r="A55" i="5"/>
  <c r="B55" i="5"/>
  <c r="A56" i="5"/>
  <c r="B56" i="5"/>
  <c r="A57" i="5"/>
  <c r="B57" i="5"/>
  <c r="A59" i="5"/>
  <c r="B59" i="5" s="1"/>
  <c r="A60" i="5"/>
  <c r="B60" i="5" s="1"/>
  <c r="A61" i="5"/>
  <c r="B61" i="5"/>
  <c r="A62" i="5"/>
  <c r="B62" i="5" s="1"/>
  <c r="A63" i="5"/>
  <c r="B63" i="5" s="1"/>
  <c r="A64" i="5"/>
  <c r="B64" i="5" s="1"/>
  <c r="A65" i="5"/>
  <c r="B65" i="5"/>
  <c r="A66" i="5"/>
  <c r="B66" i="5" s="1"/>
  <c r="A67" i="5"/>
  <c r="B67" i="5" s="1"/>
  <c r="A68" i="5"/>
  <c r="B68" i="5" s="1"/>
  <c r="A69" i="5"/>
  <c r="B69" i="5" s="1"/>
  <c r="A70" i="5"/>
  <c r="B70" i="5"/>
  <c r="A71" i="5"/>
  <c r="B71" i="5" s="1"/>
  <c r="A72" i="5"/>
  <c r="B72" i="5"/>
  <c r="A73" i="5"/>
  <c r="B73" i="5" s="1"/>
  <c r="A74" i="5"/>
  <c r="B74" i="5"/>
  <c r="A75" i="5"/>
  <c r="B75" i="5" s="1"/>
  <c r="A76" i="5"/>
  <c r="B76" i="5" s="1"/>
  <c r="A77" i="5"/>
  <c r="B77" i="5"/>
  <c r="A78" i="5"/>
  <c r="B78" i="5"/>
  <c r="A79" i="5"/>
  <c r="B79" i="5" s="1"/>
  <c r="A80" i="5"/>
  <c r="B80" i="5"/>
  <c r="A81" i="5"/>
  <c r="B81" i="5"/>
  <c r="A82" i="5"/>
  <c r="B82" i="5"/>
</calcChain>
</file>

<file path=xl/sharedStrings.xml><?xml version="1.0" encoding="utf-8"?>
<sst xmlns="http://schemas.openxmlformats.org/spreadsheetml/2006/main" count="844" uniqueCount="486">
  <si>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</si>
  <si>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</si>
  <si>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</si>
  <si>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</si>
  <si>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</si>
  <si>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</si>
  <si>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</si>
  <si>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</si>
  <si>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</si>
  <si>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</si>
  <si>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</si>
  <si>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</si>
  <si>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</si>
  <si>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</si>
  <si>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</si>
  <si>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</si>
  <si>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</si>
  <si>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</si>
  <si>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</si>
  <si>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</si>
  <si>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</si>
  <si>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</si>
  <si>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</si>
  <si>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</si>
  <si>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</si>
  <si>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</si>
  <si>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</si>
  <si>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</si>
  <si>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</si>
  <si>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</si>
  <si>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</si>
  <si>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</si>
  <si>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</si>
  <si>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</si>
  <si>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</si>
  <si>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</si>
  <si>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</si>
  <si>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</si>
  <si>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</si>
  <si>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</si>
  <si>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</si>
  <si>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</si>
  <si>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</si>
  <si>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</si>
  <si>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</si>
  <si>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</si>
  <si>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</si>
  <si>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</si>
  <si>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</si>
  <si>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</si>
  <si>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</si>
  <si>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</si>
  <si>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</si>
  <si>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</si>
  <si>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</si>
  <si>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</si>
  <si>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</si>
  <si>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</si>
  <si>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</si>
  <si>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</si>
  <si>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</si>
  <si>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</si>
  <si>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</si>
  <si>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</si>
  <si>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</si>
  <si>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</si>
  <si>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</si>
  <si>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</si>
  <si>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</si>
  <si>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</si>
  <si>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</si>
  <si>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</si>
  <si>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</si>
  <si>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</si>
  <si>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</si>
  <si>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</si>
  <si>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</si>
  <si>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</si>
  <si>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</si>
  <si>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</si>
  <si>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</si>
  <si>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</si>
  <si>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</si>
  <si>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</si>
  <si>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</si>
  <si>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</si>
  <si>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</si>
  <si>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</si>
  <si>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</si>
  <si>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</si>
  <si>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</si>
  <si>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</si>
  <si>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</si>
  <si>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</si>
  <si>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</si>
  <si>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</si>
  <si>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</si>
  <si>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</si>
  <si>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</si>
  <si>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</si>
  <si>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</si>
  <si>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</si>
  <si>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</si>
  <si>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</si>
  <si>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</si>
  <si>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</si>
  <si>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</si>
  <si>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</si>
  <si>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</si>
  <si>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</si>
  <si>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</si>
  <si>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</si>
  <si>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</si>
  <si>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</si>
  <si>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</si>
  <si>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</si>
  <si>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</si>
  <si>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</si>
  <si>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</si>
  <si>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</si>
  <si>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</si>
  <si>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</si>
  <si>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</si>
  <si>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</si>
  <si>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</si>
  <si>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</si>
  <si>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</si>
  <si>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</si>
  <si>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</si>
  <si>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</si>
  <si>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</si>
  <si>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</si>
  <si>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</si>
  <si>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</si>
  <si>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</si>
  <si>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</si>
  <si>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</si>
  <si>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</si>
  <si>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</si>
  <si>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</si>
  <si>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</si>
  <si>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</si>
  <si>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</si>
  <si>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</si>
  <si>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</si>
  <si>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</si>
  <si>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</si>
  <si>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</si>
  <si>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</si>
  <si>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</si>
  <si>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</si>
  <si>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</si>
  <si>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</si>
  <si>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</si>
  <si>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</si>
  <si>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</si>
  <si>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</si>
  <si>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</si>
  <si>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</si>
  <si>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</si>
  <si>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</si>
  <si>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</si>
  <si>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</si>
  <si>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</si>
  <si>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</si>
  <si>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</si>
  <si>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</si>
  <si>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</si>
  <si>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</si>
  <si>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</si>
  <si>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</si>
  <si>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</si>
  <si>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</si>
  <si>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</si>
  <si>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</si>
  <si>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</si>
  <si>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</si>
  <si>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</si>
  <si>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</si>
  <si>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</si>
  <si>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</si>
  <si>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</si>
  <si>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</si>
  <si>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</si>
  <si>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</si>
  <si>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</si>
  <si>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</si>
  <si>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</si>
  <si>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</si>
  <si>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</si>
  <si>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</si>
  <si>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</si>
  <si>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</si>
  <si>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</si>
  <si>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</si>
  <si>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</si>
  <si>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</si>
  <si>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</si>
  <si>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</si>
  <si>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</si>
  <si>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</si>
  <si>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</si>
  <si>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</si>
  <si>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</si>
  <si>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</si>
  <si>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</si>
  <si>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</si>
  <si>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</si>
  <si>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</si>
  <si>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</si>
  <si>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</si>
  <si>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</si>
  <si>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</si>
  <si>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</si>
  <si>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</si>
  <si>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</si>
  <si>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</si>
  <si>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</si>
  <si>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</si>
  <si>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</si>
  <si>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</si>
  <si>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</si>
  <si>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</si>
  <si>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</si>
  <si>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</si>
  <si>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</si>
  <si>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</si>
  <si>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</si>
  <si>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</si>
  <si>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</si>
  <si>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华报善堂中元会 (代表：徐金声, Chi Hwee, Yan Yi, Agnes, Jin Hoa）。筹款活动包括义标。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</si>
  <si>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</si>
  <si>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</si>
  <si>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</si>
  <si>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</si>
  <si>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</si>
  <si>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</si>
  <si>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</si>
  <si>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</si>
  <si>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</si>
  <si>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</si>
  <si>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</si>
  <si>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</si>
  <si>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</si>
  <si>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Lunar July (ZhongYuan Festival) - Nam Hong Siang Theon (Representative: Neo Tian Siah, NHWSS office staff, 5 front desk, 晓晓 - all to arrive by 7pm). Auction item included.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</si>
  <si>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</si>
  <si>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</si>
  <si>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</si>
  <si>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</si>
  <si>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</si>
  <si>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</si>
  <si>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</si>
  <si>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</si>
  <si>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</si>
  <si>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</si>
  <si>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</si>
  <si>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</si>
  <si>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</si>
  <si>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</si>
  <si>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Lunar July (ZhongYuan Festival) - Block 139 Yishun Ring Road (Representative: Cher Kim Seah, 梁医师, Yan Yi, Kathy - all to arrive by 7pm). Auction item included.</t>
  </si>
  <si>
    <t>大牌139中元会 (代表：徐金声,梁医师, Yan Yi, Kathy）。筹款活动包括义标。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</si>
  <si>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</si>
  <si>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</si>
  <si>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</si>
  <si>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</si>
  <si>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</si>
  <si>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</si>
  <si>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</si>
  <si>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</si>
  <si>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</si>
  <si>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</si>
  <si>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</si>
  <si>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</si>
  <si>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</si>
  <si>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</si>
  <si>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</si>
  <si>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</si>
  <si>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</si>
  <si>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</si>
  <si>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</si>
  <si>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</si>
  <si>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</si>
  <si>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</si>
  <si>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</si>
  <si>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</si>
  <si>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</si>
  <si>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</si>
  <si>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</si>
  <si>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</si>
  <si>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</si>
  <si>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</si>
  <si>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</si>
  <si>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</si>
  <si>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</si>
  <si>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</si>
  <si>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</si>
  <si>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</si>
  <si>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</si>
  <si>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</si>
  <si>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</si>
  <si>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</si>
  <si>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</si>
  <si>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</si>
  <si>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</si>
  <si>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</si>
  <si>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</si>
  <si>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</si>
  <si>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</si>
  <si>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</si>
  <si>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</si>
  <si>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</si>
  <si>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</si>
  <si>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</si>
  <si>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</si>
  <si>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</si>
  <si>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</si>
  <si>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</si>
  <si>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</si>
  <si>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</si>
  <si>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</si>
  <si>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</si>
  <si>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</si>
  <si>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</si>
  <si>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</si>
  <si>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</si>
  <si>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</si>
  <si>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</si>
  <si>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</si>
  <si>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</si>
  <si>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</si>
  <si>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</si>
  <si>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</si>
  <si>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</si>
  <si>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</si>
  <si>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</si>
  <si>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</si>
  <si>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</si>
  <si>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</si>
  <si>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</si>
  <si>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</si>
  <si>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</si>
  <si>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</si>
  <si>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</si>
  <si>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</si>
  <si>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</si>
  <si>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</si>
  <si>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</si>
  <si>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</si>
  <si>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</si>
  <si>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</si>
  <si>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</si>
  <si>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</si>
  <si>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</si>
  <si>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</si>
  <si>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</si>
  <si>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</si>
  <si>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</si>
  <si>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</si>
  <si>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</si>
  <si>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</si>
  <si>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</si>
  <si>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</si>
  <si>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</si>
  <si>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</si>
  <si>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</si>
  <si>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</si>
  <si>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</si>
  <si>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</si>
  <si>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</si>
  <si>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</si>
  <si>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</si>
  <si>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</si>
  <si>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</si>
  <si>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</si>
  <si>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</si>
  <si>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</si>
  <si>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</si>
  <si>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</si>
  <si>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</si>
  <si>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</si>
  <si>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</si>
  <si>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</si>
  <si>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</si>
  <si>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</si>
  <si>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</si>
  <si>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</si>
  <si>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</si>
  <si>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</si>
  <si>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</si>
  <si>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</si>
  <si>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</si>
  <si>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</si>
  <si>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</si>
  <si>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</si>
  <si>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</si>
  <si>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</si>
  <si>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</si>
  <si>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</si>
  <si>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</si>
  <si>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</si>
  <si>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</si>
  <si>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</si>
  <si>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</si>
  <si>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</si>
  <si>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</si>
  <si>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</si>
  <si>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</si>
  <si>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</si>
  <si>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</si>
  <si>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</si>
  <si>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</si>
  <si>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</si>
  <si>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</si>
  <si>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</si>
  <si>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</si>
  <si>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</si>
  <si>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</si>
  <si>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</si>
  <si>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</si>
  <si>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</si>
  <si>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</si>
  <si>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</si>
  <si>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</si>
  <si>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</si>
  <si>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</si>
  <si>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</si>
  <si>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</si>
  <si>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</si>
  <si>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</si>
  <si>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</si>
  <si>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</si>
  <si>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</si>
  <si>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</si>
  <si>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</si>
  <si>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</si>
  <si>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</si>
  <si>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</si>
  <si>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</si>
  <si>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</si>
  <si>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</si>
  <si>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</si>
  <si>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</si>
  <si>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</si>
  <si>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</si>
  <si>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</si>
  <si>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</si>
  <si>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</si>
  <si>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</si>
  <si>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正罡玄门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</si>
  <si>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</si>
  <si>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</si>
  <si>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</si>
  <si>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</si>
  <si>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</si>
  <si>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</si>
  <si>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</si>
  <si>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</si>
  <si>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</si>
  <si>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</si>
  <si>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</si>
  <si>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</si>
  <si>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</si>
  <si>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</si>
  <si>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</si>
  <si>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</si>
  <si>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</si>
  <si>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</si>
  <si>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</si>
  <si>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</si>
  <si>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</si>
  <si>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 xml:space="preserve">Lunar July (ZhongYuan Festival) - Blk 838 Yishun Street 81 (Representative: Doran, Kathy, 丽菁, 丽丝和先生 - all to arrive by 7pm) </t>
  </si>
  <si>
    <t>义顺南旺村中元会。(代表：Doran, Kathy, 丽菁, 丽丝和先生）</t>
  </si>
  <si>
    <t>Wee Guan Construction 企业社会责任（120人）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</si>
  <si>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</si>
  <si>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</si>
  <si>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MWS Family Service Centre Family Wellness Day (Exhibition Booth). (In charge: Bryan)</t>
  </si>
  <si>
    <t>正罡玄门 Mid-Autumn Ration (200 pax). (In charge: Bryan &amp; Chi Hwee)</t>
  </si>
  <si>
    <t>Wee Guan Construction CSR Mental Health Day (120 pax). 70 volunteers. Buffet, activities, goodie bag. 9am to 1pm. (In charge: Chi Hwee, Jin Hoa)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</si>
  <si>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</si>
  <si>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</si>
  <si>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</si>
  <si>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</si>
  <si>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Lunar July (ZhongYuan Festival) - 104 Yishun Ring Road (Representative: Cher Kim Seah, Pei Yuen, Yan Yi - all to arrive by 7pm). Auction item included.</t>
  </si>
  <si>
    <t>Lunar July (ZhongYuan Festival) - 104 Yishun Ring Road (Representative: Cher Kim Seah, Doran, Pei Yuen - all to arrive by 7pm)</t>
  </si>
  <si>
    <t>义顺镇商贩联合中元会歌台 (代表：徐金声, Doran, Pei Yuen）</t>
  </si>
  <si>
    <t>义顺镇商贩联合中元会 (代表：徐金声, Pei Yuen, Yan Yi）。筹款活动包括义标。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</si>
</sst>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249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82"/>
  <sheetViews>
    <sheetView tabSelected="1" workbookViewId="0">
      <pane ySplit="1" topLeftCell="A29" activePane="bottomLeft" state="frozen"/>
      <selection activeCell="C1" sqref="C1"/>
      <selection pane="bottomLeft" activeCell="D41" sqref="D41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412</v>
      </c>
    </row>
    <row r="2" spans="1:6" x14ac:dyDescent="0.35">
      <c r="A2" s="12">
        <f>DATE(2026,1,1)</f>
        <v>46023</v>
      </c>
      <c r="B2" s="13" t="str">
        <f t="shared" ref="B2:B55" si="0">TEXT($A2,"ddd")</f>
        <v>Thu</v>
      </c>
      <c r="C2" s="11" t="s">
        <v>135</v>
      </c>
      <c r="D2" s="11" t="s">
        <v>136</v>
      </c>
      <c r="E2" s="11" t="s">
        <v>124</v>
      </c>
      <c r="F2" s="25" t="s">
        <v>413</v>
      </c>
    </row>
    <row r="3" spans="1:6" x14ac:dyDescent="0.35">
      <c r="A3" s="12">
        <f>DATE(2026,2,8)</f>
        <v>46061</v>
      </c>
      <c r="B3" s="13" t="str">
        <f t="shared" si="0"/>
        <v>Sun</v>
      </c>
      <c r="C3" s="11" t="s">
        <v>120</v>
      </c>
      <c r="D3" s="11" t="s">
        <v>137</v>
      </c>
      <c r="E3" s="11" t="s">
        <v>121</v>
      </c>
      <c r="F3" s="25" t="s">
        <v>416</v>
      </c>
    </row>
    <row r="4" spans="1:6" x14ac:dyDescent="0.35">
      <c r="A4" s="12">
        <f>DATE(2026,2,26)</f>
        <v>46079</v>
      </c>
      <c r="B4" s="13" t="str">
        <f t="shared" si="0"/>
        <v>Thu</v>
      </c>
      <c r="C4" s="11" t="s">
        <v>138</v>
      </c>
      <c r="D4" s="11" t="s">
        <v>139</v>
      </c>
      <c r="E4" s="11" t="s">
        <v>131</v>
      </c>
      <c r="F4" s="25" t="s">
        <v>417</v>
      </c>
    </row>
    <row r="5" spans="1:6" x14ac:dyDescent="0.35">
      <c r="A5" s="12">
        <f>DATE(2026,2,27)</f>
        <v>46080</v>
      </c>
      <c r="B5" s="13" t="str">
        <f t="shared" si="0"/>
        <v>Fri</v>
      </c>
      <c r="C5" s="11" t="s">
        <v>122</v>
      </c>
      <c r="D5" s="11" t="s">
        <v>140</v>
      </c>
      <c r="E5" s="11" t="s">
        <v>121</v>
      </c>
      <c r="F5" s="25" t="s">
        <v>420</v>
      </c>
    </row>
    <row r="6" spans="1:6" x14ac:dyDescent="0.35">
      <c r="A6" s="12">
        <f>DATE(2026,3,7)</f>
        <v>46088</v>
      </c>
      <c r="B6" s="13" t="str">
        <f t="shared" si="0"/>
        <v>Sat</v>
      </c>
      <c r="C6" s="11" t="s">
        <v>123</v>
      </c>
      <c r="D6" s="11" t="s">
        <v>141</v>
      </c>
      <c r="E6" s="11" t="s">
        <v>121</v>
      </c>
      <c r="F6" s="25" t="s">
        <v>421</v>
      </c>
    </row>
    <row r="7" spans="1:6" x14ac:dyDescent="0.35">
      <c r="A7" s="12">
        <f>DATE(2026,3,20)</f>
        <v>46101</v>
      </c>
      <c r="B7" s="13" t="str">
        <f t="shared" si="0"/>
        <v>Fri</v>
      </c>
      <c r="C7" s="11" t="s">
        <v>125</v>
      </c>
      <c r="D7" s="11" t="s">
        <v>142</v>
      </c>
      <c r="E7" s="11" t="s">
        <v>124</v>
      </c>
      <c r="F7" s="25" t="s">
        <v>418</v>
      </c>
    </row>
    <row r="8" spans="1:6" x14ac:dyDescent="0.35">
      <c r="A8" s="12">
        <f>DATE(2026,3,23)</f>
        <v>46104</v>
      </c>
      <c r="B8" s="13" t="str">
        <f t="shared" si="0"/>
        <v>Mon</v>
      </c>
      <c r="C8" s="11" t="s">
        <v>126</v>
      </c>
      <c r="D8" s="11" t="s">
        <v>143</v>
      </c>
      <c r="E8" s="11" t="s">
        <v>121</v>
      </c>
      <c r="F8" s="25" t="s">
        <v>424</v>
      </c>
    </row>
    <row r="9" spans="1:6" x14ac:dyDescent="0.35">
      <c r="A9" s="12">
        <f>DATE(2026,3,24)</f>
        <v>46105</v>
      </c>
      <c r="B9" s="13" t="str">
        <f t="shared" si="0"/>
        <v>Tue</v>
      </c>
      <c r="C9" s="11" t="s">
        <v>127</v>
      </c>
      <c r="D9" s="11" t="s">
        <v>144</v>
      </c>
      <c r="E9" s="11" t="s">
        <v>121</v>
      </c>
      <c r="F9" s="25" t="s">
        <v>423</v>
      </c>
    </row>
    <row r="10" spans="1:6" x14ac:dyDescent="0.35">
      <c r="A10" s="12">
        <f>DATE(2026,3,27)</f>
        <v>46108</v>
      </c>
      <c r="B10" s="13" t="str">
        <f t="shared" si="0"/>
        <v>Fri</v>
      </c>
      <c r="C10" s="11" t="s">
        <v>128</v>
      </c>
      <c r="D10" s="16" t="s">
        <v>227</v>
      </c>
      <c r="E10" s="11" t="s">
        <v>121</v>
      </c>
      <c r="F10" s="25" t="s">
        <v>419</v>
      </c>
    </row>
    <row r="11" spans="1:6" x14ac:dyDescent="0.35">
      <c r="A11" s="12">
        <f>DATE(2026,4,20)</f>
        <v>46132</v>
      </c>
      <c r="B11" s="13" t="str">
        <f t="shared" si="0"/>
        <v>Mon</v>
      </c>
      <c r="C11" s="11" t="s">
        <v>130</v>
      </c>
      <c r="D11" s="11" t="s">
        <v>250</v>
      </c>
      <c r="E11" s="11" t="s">
        <v>129</v>
      </c>
      <c r="F11" s="25" t="s">
        <v>428</v>
      </c>
    </row>
    <row r="12" spans="1:6" x14ac:dyDescent="0.35">
      <c r="A12" s="12">
        <f>DATE(2026,5,4)</f>
        <v>46146</v>
      </c>
      <c r="B12" s="13" t="str">
        <f t="shared" si="0"/>
        <v>Mon</v>
      </c>
      <c r="C12" s="11" t="s">
        <v>145</v>
      </c>
      <c r="D12" s="11" t="s">
        <v>146</v>
      </c>
      <c r="E12" s="11" t="s">
        <v>129</v>
      </c>
      <c r="F12" s="25" t="s">
        <v>426</v>
      </c>
    </row>
    <row r="13" spans="1:6" x14ac:dyDescent="0.35">
      <c r="A13" s="12">
        <f>DATE(2026,5,15)</f>
        <v>46157</v>
      </c>
      <c r="B13" s="13" t="str">
        <f t="shared" si="0"/>
        <v>Fri</v>
      </c>
      <c r="C13" s="11" t="s">
        <v>147</v>
      </c>
      <c r="D13" s="11" t="s">
        <v>148</v>
      </c>
      <c r="E13" s="11" t="s">
        <v>131</v>
      </c>
      <c r="F13" s="25" t="s">
        <v>427</v>
      </c>
    </row>
    <row r="14" spans="1:6" x14ac:dyDescent="0.35">
      <c r="A14" s="12">
        <f>DATE(2026,5,24)</f>
        <v>46166</v>
      </c>
      <c r="B14" s="13" t="str">
        <f t="shared" si="0"/>
        <v>Sun</v>
      </c>
      <c r="C14" s="11" t="s">
        <v>149</v>
      </c>
      <c r="D14" s="11" t="s">
        <v>251</v>
      </c>
      <c r="E14" s="11" t="s">
        <v>129</v>
      </c>
      <c r="F14" s="25" t="s">
        <v>429</v>
      </c>
    </row>
    <row r="15" spans="1:6" x14ac:dyDescent="0.35">
      <c r="A15" s="12">
        <f>DATE(2026,5,25)</f>
        <v>46167</v>
      </c>
      <c r="B15" s="13" t="str">
        <f t="shared" si="0"/>
        <v>Mon</v>
      </c>
      <c r="C15" s="11" t="s">
        <v>132</v>
      </c>
      <c r="D15" s="11" t="s">
        <v>150</v>
      </c>
      <c r="E15" s="11" t="s">
        <v>121</v>
      </c>
      <c r="F15" s="25" t="s">
        <v>430</v>
      </c>
    </row>
    <row r="16" spans="1:6" x14ac:dyDescent="0.35">
      <c r="A16" s="12">
        <f>DATE(2026,5,29)</f>
        <v>46171</v>
      </c>
      <c r="B16" s="13" t="str">
        <f t="shared" si="0"/>
        <v>Fri</v>
      </c>
      <c r="C16" s="11" t="s">
        <v>151</v>
      </c>
      <c r="D16" s="11" t="s">
        <v>152</v>
      </c>
      <c r="E16" s="11" t="s">
        <v>235</v>
      </c>
      <c r="F16" s="25" t="s">
        <v>425</v>
      </c>
    </row>
    <row r="17" spans="1:6" x14ac:dyDescent="0.35">
      <c r="A17" s="12">
        <f>DATE(2026,5,30)</f>
        <v>46172</v>
      </c>
      <c r="B17" s="13" t="str">
        <f t="shared" si="0"/>
        <v>Sat</v>
      </c>
      <c r="C17" s="11" t="s">
        <v>153</v>
      </c>
      <c r="D17" s="11" t="s">
        <v>154</v>
      </c>
      <c r="E17" s="11" t="s">
        <v>235</v>
      </c>
      <c r="F17" s="25" t="s">
        <v>425</v>
      </c>
    </row>
    <row r="18" spans="1:6" x14ac:dyDescent="0.35">
      <c r="A18" s="12">
        <f>DATE(2026,5,31)</f>
        <v>46173</v>
      </c>
      <c r="B18" s="13" t="str">
        <f t="shared" si="0"/>
        <v>Sun</v>
      </c>
      <c r="C18" s="11" t="s">
        <v>155</v>
      </c>
      <c r="D18" s="11" t="s">
        <v>156</v>
      </c>
      <c r="E18" s="11" t="s">
        <v>235</v>
      </c>
      <c r="F18" s="25" t="s">
        <v>425</v>
      </c>
    </row>
    <row r="19" spans="1:6" x14ac:dyDescent="0.35">
      <c r="A19" s="12">
        <f>DATE(2026,6,1)</f>
        <v>46174</v>
      </c>
      <c r="B19" s="13" t="str">
        <f t="shared" si="0"/>
        <v>Mon</v>
      </c>
      <c r="C19" s="11" t="s">
        <v>157</v>
      </c>
      <c r="D19" s="11" t="s">
        <v>158</v>
      </c>
      <c r="E19" s="11" t="s">
        <v>235</v>
      </c>
      <c r="F19" s="25" t="s">
        <v>425</v>
      </c>
    </row>
    <row r="20" spans="1:6" x14ac:dyDescent="0.35">
      <c r="A20" s="12">
        <f>DATE(2026,6,12)</f>
        <v>46185</v>
      </c>
      <c r="B20" s="13" t="str">
        <f t="shared" si="0"/>
        <v>Fri</v>
      </c>
      <c r="C20" s="11" t="s">
        <v>128</v>
      </c>
      <c r="D20" s="16" t="s">
        <v>228</v>
      </c>
      <c r="E20" s="11" t="s">
        <v>121</v>
      </c>
      <c r="F20" s="25" t="s">
        <v>419</v>
      </c>
    </row>
    <row r="21" spans="1:6" x14ac:dyDescent="0.35">
      <c r="A21" s="12">
        <f>DATE(2026,6,13)</f>
        <v>46186</v>
      </c>
      <c r="B21" s="13" t="str">
        <f t="shared" si="0"/>
        <v>Sat</v>
      </c>
      <c r="C21" s="11" t="s">
        <v>133</v>
      </c>
      <c r="D21" s="11" t="s">
        <v>159</v>
      </c>
      <c r="E21" s="11" t="s">
        <v>121</v>
      </c>
      <c r="F21" s="25" t="s">
        <v>414</v>
      </c>
    </row>
    <row r="22" spans="1:6" x14ac:dyDescent="0.35">
      <c r="A22" s="12">
        <f>DATE(2026,6,20)</f>
        <v>46193</v>
      </c>
      <c r="B22" s="13" t="str">
        <f t="shared" si="0"/>
        <v>Sat</v>
      </c>
      <c r="C22" s="11" t="s">
        <v>128</v>
      </c>
      <c r="D22" s="16" t="s">
        <v>228</v>
      </c>
      <c r="E22" s="11" t="s">
        <v>121</v>
      </c>
      <c r="F22" s="25" t="s">
        <v>419</v>
      </c>
    </row>
    <row r="23" spans="1:6" x14ac:dyDescent="0.35">
      <c r="A23" s="12">
        <f>DATE(2026,7,3)</f>
        <v>46206</v>
      </c>
      <c r="B23" s="13" t="str">
        <f t="shared" si="0"/>
        <v>Fri</v>
      </c>
      <c r="C23" s="11" t="s">
        <v>160</v>
      </c>
      <c r="D23" s="11" t="s">
        <v>161</v>
      </c>
      <c r="E23" s="11" t="s">
        <v>124</v>
      </c>
      <c r="F23" s="25" t="s">
        <v>431</v>
      </c>
    </row>
    <row r="24" spans="1:6" x14ac:dyDescent="0.35">
      <c r="A24" s="12">
        <f>DATE(2026,7,24)</f>
        <v>46227</v>
      </c>
      <c r="B24" s="13" t="str">
        <f t="shared" si="0"/>
        <v>Fri</v>
      </c>
      <c r="C24" s="11" t="s">
        <v>199</v>
      </c>
      <c r="D24" s="11" t="s">
        <v>200</v>
      </c>
      <c r="E24" s="11" t="s">
        <v>124</v>
      </c>
      <c r="F24" s="25" t="s">
        <v>432</v>
      </c>
    </row>
    <row r="25" spans="1:6" x14ac:dyDescent="0.35">
      <c r="A25" s="12">
        <f>DATE(2026,7,24)</f>
        <v>46227</v>
      </c>
      <c r="B25" s="13" t="str">
        <f t="shared" si="0"/>
        <v>Fri</v>
      </c>
      <c r="C25" s="16" t="s">
        <v>128</v>
      </c>
      <c r="D25" s="16" t="s">
        <v>229</v>
      </c>
      <c r="E25" s="11" t="s">
        <v>121</v>
      </c>
      <c r="F25" s="25" t="s">
        <v>419</v>
      </c>
    </row>
    <row r="26" spans="1:6" x14ac:dyDescent="0.35">
      <c r="A26" s="12">
        <f>DATE(2026,7,25)</f>
        <v>46228</v>
      </c>
      <c r="B26" s="13" t="str">
        <f t="shared" si="0"/>
        <v>Sat</v>
      </c>
      <c r="C26" s="16" t="s">
        <v>128</v>
      </c>
      <c r="D26" s="16" t="s">
        <v>229</v>
      </c>
      <c r="E26" s="11" t="s">
        <v>121</v>
      </c>
      <c r="F26" s="25" t="s">
        <v>419</v>
      </c>
    </row>
    <row r="27" spans="1:6" x14ac:dyDescent="0.35">
      <c r="A27" s="12">
        <f>DATE(2026,8,1)</f>
        <v>46235</v>
      </c>
      <c r="B27" s="13" t="str">
        <f t="shared" si="0"/>
        <v>Sat</v>
      </c>
      <c r="C27" s="11" t="s">
        <v>225</v>
      </c>
      <c r="D27" s="11" t="s">
        <v>226</v>
      </c>
      <c r="E27" s="11" t="s">
        <v>124</v>
      </c>
      <c r="F27" s="25" t="s">
        <v>433</v>
      </c>
    </row>
    <row r="28" spans="1:6" x14ac:dyDescent="0.35">
      <c r="A28" s="12">
        <f>DATE(2026,8,5)</f>
        <v>46239</v>
      </c>
      <c r="B28" s="13" t="str">
        <f t="shared" ref="B28:B40" si="1">TEXT($A28,"ddd")</f>
        <v>Wed</v>
      </c>
      <c r="C28" s="11" t="s">
        <v>233</v>
      </c>
      <c r="D28" s="16" t="s">
        <v>232</v>
      </c>
      <c r="E28" s="11" t="s">
        <v>121</v>
      </c>
      <c r="F28" s="25" t="s">
        <v>422</v>
      </c>
    </row>
    <row r="29" spans="1:6" x14ac:dyDescent="0.35">
      <c r="A29" s="12">
        <f>DATE(2026,8,8)</f>
        <v>46242</v>
      </c>
      <c r="B29" s="13" t="str">
        <f t="shared" si="1"/>
        <v>Sat</v>
      </c>
      <c r="C29" s="11" t="s">
        <v>239</v>
      </c>
      <c r="D29" s="16" t="s">
        <v>222</v>
      </c>
      <c r="E29" s="11" t="s">
        <v>235</v>
      </c>
      <c r="F29" s="25" t="s">
        <v>415</v>
      </c>
    </row>
    <row r="30" spans="1:6" x14ac:dyDescent="0.35">
      <c r="A30" s="12">
        <f>DATE(2026,8,14)</f>
        <v>46248</v>
      </c>
      <c r="B30" s="13" t="str">
        <f t="shared" si="1"/>
        <v>Fri</v>
      </c>
      <c r="C30" s="11" t="s">
        <v>259</v>
      </c>
      <c r="D30" s="16" t="s">
        <v>260</v>
      </c>
      <c r="E30" s="11" t="s">
        <v>235</v>
      </c>
      <c r="F30" s="25" t="s">
        <v>434</v>
      </c>
    </row>
    <row r="31" spans="1:6" x14ac:dyDescent="0.35">
      <c r="A31" s="12">
        <f>DATE(2026,8,15)</f>
        <v>46249</v>
      </c>
      <c r="B31" s="13" t="str">
        <f t="shared" si="1"/>
        <v>Sat</v>
      </c>
      <c r="C31" s="11" t="s">
        <v>240</v>
      </c>
      <c r="D31" s="16" t="s">
        <v>460</v>
      </c>
      <c r="E31" s="11" t="s">
        <v>246</v>
      </c>
      <c r="F31" s="25" t="s">
        <v>436</v>
      </c>
    </row>
    <row r="32" spans="1:6" x14ac:dyDescent="0.35">
      <c r="A32" s="12">
        <f>DATE(2026,8,19)</f>
        <v>46253</v>
      </c>
      <c r="B32" s="13" t="str">
        <f t="shared" si="1"/>
        <v>Wed</v>
      </c>
      <c r="C32" s="11" t="s">
        <v>462</v>
      </c>
      <c r="D32" s="16" t="s">
        <v>464</v>
      </c>
      <c r="E32" s="11" t="s">
        <v>129</v>
      </c>
      <c r="F32" s="25" t="s">
        <v>463</v>
      </c>
    </row>
    <row r="33" spans="1:6" x14ac:dyDescent="0.35">
      <c r="A33" s="12">
        <f>DATE(2026,8,23)</f>
        <v>46257</v>
      </c>
      <c r="B33" s="13" t="str">
        <f t="shared" si="1"/>
        <v>Sun</v>
      </c>
      <c r="C33" s="11" t="s">
        <v>241</v>
      </c>
      <c r="D33" s="11" t="s">
        <v>220</v>
      </c>
      <c r="E33" s="11" t="s">
        <v>235</v>
      </c>
      <c r="F33" s="25" t="s">
        <v>435</v>
      </c>
    </row>
    <row r="34" spans="1:6" x14ac:dyDescent="0.35">
      <c r="A34" s="12">
        <f>DATE(2026,8,28)</f>
        <v>46262</v>
      </c>
      <c r="B34" s="13" t="str">
        <f>TEXT($A34,"ddd")</f>
        <v>Fri</v>
      </c>
      <c r="C34" s="11" t="s">
        <v>473</v>
      </c>
      <c r="D34" s="11" t="s">
        <v>162</v>
      </c>
      <c r="E34" s="11" t="s">
        <v>124</v>
      </c>
      <c r="F34" s="25" t="s">
        <v>437</v>
      </c>
    </row>
    <row r="35" spans="1:6" x14ac:dyDescent="0.35">
      <c r="A35" s="12">
        <f>DATE(2026,8,29)</f>
        <v>46263</v>
      </c>
      <c r="B35" s="13" t="str">
        <f t="shared" si="1"/>
        <v>Sat</v>
      </c>
      <c r="C35" s="11" t="s">
        <v>474</v>
      </c>
      <c r="D35" s="11" t="s">
        <v>461</v>
      </c>
      <c r="E35" s="11" t="s">
        <v>246</v>
      </c>
      <c r="F35" s="25" t="s">
        <v>419</v>
      </c>
    </row>
    <row r="36" spans="1:6" x14ac:dyDescent="0.35">
      <c r="A36" s="12">
        <f>DATE(2026,8,29)</f>
        <v>46263</v>
      </c>
      <c r="B36" s="13" t="str">
        <f t="shared" si="1"/>
        <v>Sat</v>
      </c>
      <c r="C36" s="11" t="s">
        <v>468</v>
      </c>
      <c r="D36" s="11" t="s">
        <v>469</v>
      </c>
      <c r="E36" s="11" t="s">
        <v>235</v>
      </c>
      <c r="F36" s="25" t="s">
        <v>438</v>
      </c>
    </row>
    <row r="37" spans="1:6" x14ac:dyDescent="0.35">
      <c r="A37" s="12">
        <f>DATE(2026,8,31)</f>
        <v>46265</v>
      </c>
      <c r="B37" s="13" t="str">
        <f>TEXT($A37,"ddd")</f>
        <v>Mon</v>
      </c>
      <c r="C37" s="11" t="s">
        <v>257</v>
      </c>
      <c r="D37" s="21" t="s">
        <v>258</v>
      </c>
      <c r="E37" s="11" t="s">
        <v>235</v>
      </c>
      <c r="F37" s="25" t="s">
        <v>439</v>
      </c>
    </row>
    <row r="38" spans="1:6" x14ac:dyDescent="0.35">
      <c r="A38" s="12">
        <f>DATE(2026,9,1)</f>
        <v>46266</v>
      </c>
      <c r="B38" s="13" t="str">
        <f t="shared" si="1"/>
        <v>Tue</v>
      </c>
      <c r="C38" s="11" t="s">
        <v>242</v>
      </c>
      <c r="D38" s="16" t="s">
        <v>230</v>
      </c>
      <c r="E38" s="11" t="s">
        <v>235</v>
      </c>
      <c r="F38" s="25" t="s">
        <v>440</v>
      </c>
    </row>
    <row r="39" spans="1:6" x14ac:dyDescent="0.35">
      <c r="A39" s="12">
        <f>DATE(2026,9,3)</f>
        <v>46268</v>
      </c>
      <c r="B39" s="13" t="str">
        <f t="shared" si="1"/>
        <v>Thu</v>
      </c>
      <c r="C39" s="11" t="s">
        <v>243</v>
      </c>
      <c r="D39" s="11" t="s">
        <v>221</v>
      </c>
      <c r="E39" s="11" t="s">
        <v>235</v>
      </c>
      <c r="F39" s="25" t="s">
        <v>441</v>
      </c>
    </row>
    <row r="40" spans="1:6" x14ac:dyDescent="0.35">
      <c r="A40" s="12">
        <f>DATE(2026,9,3)</f>
        <v>46268</v>
      </c>
      <c r="B40" s="13" t="str">
        <f t="shared" si="1"/>
        <v>Thu</v>
      </c>
      <c r="C40" s="11" t="s">
        <v>482</v>
      </c>
      <c r="D40" s="16" t="s">
        <v>485</v>
      </c>
      <c r="E40" s="11" t="s">
        <v>235</v>
      </c>
      <c r="F40" s="25" t="s">
        <v>442</v>
      </c>
    </row>
    <row r="41" spans="1:6" x14ac:dyDescent="0.35">
      <c r="A41" s="12">
        <f>DATE(2026,9,4)</f>
        <v>46269</v>
      </c>
      <c r="B41" s="13" t="str">
        <f>TEXT($A41,"ddd")</f>
        <v>Fri</v>
      </c>
      <c r="C41" s="11" t="s">
        <v>483</v>
      </c>
      <c r="D41" s="11" t="s">
        <v>484</v>
      </c>
      <c r="E41" s="11" t="s">
        <v>235</v>
      </c>
      <c r="F41" s="25" t="s">
        <v>442</v>
      </c>
    </row>
    <row r="42" spans="1:6" x14ac:dyDescent="0.35">
      <c r="A42" s="12">
        <f>DATE(2026,9,5)</f>
        <v>46270</v>
      </c>
      <c r="B42" s="13" t="str">
        <f t="shared" si="0"/>
        <v>Sat</v>
      </c>
      <c r="C42" s="11" t="s">
        <v>475</v>
      </c>
      <c r="D42" s="11" t="s">
        <v>163</v>
      </c>
      <c r="E42" s="11" t="s">
        <v>124</v>
      </c>
      <c r="F42" s="25" t="s">
        <v>443</v>
      </c>
    </row>
    <row r="43" spans="1:6" x14ac:dyDescent="0.35">
      <c r="A43" s="12">
        <f>DATE(2026,9,7)</f>
        <v>46272</v>
      </c>
      <c r="B43" s="13" t="str">
        <f>TEXT($A43,"ddd")</f>
        <v>Mon</v>
      </c>
      <c r="C43" s="11" t="s">
        <v>244</v>
      </c>
      <c r="D43" s="16" t="s">
        <v>223</v>
      </c>
      <c r="E43" s="11" t="s">
        <v>235</v>
      </c>
      <c r="F43" s="25" t="s">
        <v>444</v>
      </c>
    </row>
    <row r="44" spans="1:6" x14ac:dyDescent="0.35">
      <c r="A44" s="12">
        <f>DATE(2026,9,8)</f>
        <v>46273</v>
      </c>
      <c r="B44" s="13" t="str">
        <f>TEXT($A44,"ddd")</f>
        <v>Tue</v>
      </c>
      <c r="C44" s="11" t="s">
        <v>481</v>
      </c>
      <c r="D44" s="16" t="s">
        <v>231</v>
      </c>
      <c r="E44" s="11" t="s">
        <v>235</v>
      </c>
      <c r="F44" s="25" t="s">
        <v>444</v>
      </c>
    </row>
    <row r="45" spans="1:6" x14ac:dyDescent="0.35">
      <c r="A45" s="12">
        <f>DATE(2026,9,9)</f>
        <v>46274</v>
      </c>
      <c r="B45" s="13" t="str">
        <f>TEXT($A45,"ddd")</f>
        <v>Wed</v>
      </c>
      <c r="C45" s="16" t="s">
        <v>470</v>
      </c>
      <c r="D45" s="16" t="s">
        <v>471</v>
      </c>
      <c r="E45" s="11" t="s">
        <v>235</v>
      </c>
      <c r="F45" s="25" t="s">
        <v>445</v>
      </c>
    </row>
    <row r="46" spans="1:6" x14ac:dyDescent="0.35">
      <c r="A46" s="12">
        <f>DATE(2026,9,15)</f>
        <v>46280</v>
      </c>
      <c r="B46" s="13" t="str">
        <f t="shared" si="0"/>
        <v>Tue</v>
      </c>
      <c r="C46" s="11" t="s">
        <v>256</v>
      </c>
      <c r="D46" s="16"/>
      <c r="E46" s="11" t="s">
        <v>246</v>
      </c>
      <c r="F46" s="25" t="s">
        <v>446</v>
      </c>
    </row>
    <row r="47" spans="1:6" x14ac:dyDescent="0.35">
      <c r="A47" s="12">
        <f>DATE(2026,9,16)</f>
        <v>46281</v>
      </c>
      <c r="B47" s="13" t="str">
        <f t="shared" si="0"/>
        <v>Wed</v>
      </c>
      <c r="C47" s="11" t="s">
        <v>254</v>
      </c>
      <c r="D47" s="16" t="s">
        <v>255</v>
      </c>
      <c r="E47" s="11" t="s">
        <v>121</v>
      </c>
      <c r="F47" s="25" t="s">
        <v>422</v>
      </c>
    </row>
    <row r="48" spans="1:6" x14ac:dyDescent="0.35">
      <c r="A48" s="12">
        <f>DATE(2026,9,18)</f>
        <v>46283</v>
      </c>
      <c r="B48" s="13" t="str">
        <f t="shared" si="0"/>
        <v>Fri</v>
      </c>
      <c r="C48" s="11" t="s">
        <v>245</v>
      </c>
      <c r="D48" s="11"/>
      <c r="E48" s="11" t="s">
        <v>246</v>
      </c>
      <c r="F48" s="25" t="s">
        <v>447</v>
      </c>
    </row>
    <row r="49" spans="1:7" x14ac:dyDescent="0.35">
      <c r="A49" s="12">
        <f>DATE(2026,9,20)</f>
        <v>46285</v>
      </c>
      <c r="B49" s="13" t="str">
        <f t="shared" si="0"/>
        <v>Sun</v>
      </c>
      <c r="C49" s="11" t="s">
        <v>476</v>
      </c>
      <c r="D49" s="11" t="s">
        <v>164</v>
      </c>
      <c r="E49" s="11" t="s">
        <v>124</v>
      </c>
      <c r="F49" s="25" t="s">
        <v>448</v>
      </c>
    </row>
    <row r="50" spans="1:7" x14ac:dyDescent="0.35">
      <c r="A50" s="12">
        <f>DATE(2026,10,9)</f>
        <v>46304</v>
      </c>
      <c r="B50" s="13" t="str">
        <f t="shared" si="0"/>
        <v>Fri</v>
      </c>
      <c r="C50" s="11" t="s">
        <v>477</v>
      </c>
      <c r="D50" s="11" t="s">
        <v>472</v>
      </c>
      <c r="E50" s="11" t="s">
        <v>124</v>
      </c>
      <c r="F50" s="25" t="s">
        <v>449</v>
      </c>
    </row>
    <row r="51" spans="1:7" ht="38.5" x14ac:dyDescent="0.35">
      <c r="A51" s="12">
        <f>DATE(2026,10,9)</f>
        <v>46304</v>
      </c>
      <c r="B51" s="13" t="str">
        <f t="shared" si="0"/>
        <v>Fri</v>
      </c>
      <c r="C51" s="20" t="s">
        <v>248</v>
      </c>
      <c r="D51" s="11" t="s">
        <v>247</v>
      </c>
      <c r="E51" s="11" t="s">
        <v>246</v>
      </c>
      <c r="F51" s="25" t="s">
        <v>450</v>
      </c>
    </row>
    <row r="52" spans="1:7" x14ac:dyDescent="0.35">
      <c r="A52" s="12">
        <f>DATE(2026,10,10)</f>
        <v>46305</v>
      </c>
      <c r="B52" s="13" t="str">
        <f t="shared" si="0"/>
        <v>Sat</v>
      </c>
      <c r="C52" s="11" t="s">
        <v>478</v>
      </c>
      <c r="D52" s="11" t="s">
        <v>262</v>
      </c>
      <c r="E52" s="11" t="s">
        <v>131</v>
      </c>
      <c r="F52" s="25" t="s">
        <v>451</v>
      </c>
    </row>
    <row r="53" spans="1:7" x14ac:dyDescent="0.35">
      <c r="A53" s="12">
        <f>DATE(2026,10,12)</f>
        <v>46307</v>
      </c>
      <c r="B53" s="13" t="str">
        <f t="shared" si="0"/>
        <v>Mon</v>
      </c>
      <c r="C53" s="11" t="s">
        <v>196</v>
      </c>
      <c r="D53" s="11" t="s">
        <v>201</v>
      </c>
      <c r="E53" s="11" t="s">
        <v>235</v>
      </c>
      <c r="F53" s="25" t="s">
        <v>452</v>
      </c>
      <c r="G53" s="19"/>
    </row>
    <row r="54" spans="1:7" x14ac:dyDescent="0.35">
      <c r="A54" s="12">
        <f>DATE(2026,10,13)</f>
        <v>46308</v>
      </c>
      <c r="B54" s="13" t="str">
        <f t="shared" si="0"/>
        <v>Tue</v>
      </c>
      <c r="C54" s="11" t="s">
        <v>197</v>
      </c>
      <c r="D54" s="11" t="s">
        <v>202</v>
      </c>
      <c r="E54" s="11" t="s">
        <v>235</v>
      </c>
      <c r="F54" s="25" t="s">
        <v>452</v>
      </c>
    </row>
    <row r="55" spans="1:7" x14ac:dyDescent="0.35">
      <c r="A55" s="12">
        <f>DATE(2026,10,14)</f>
        <v>46309</v>
      </c>
      <c r="B55" s="13" t="str">
        <f t="shared" si="0"/>
        <v>Wed</v>
      </c>
      <c r="C55" s="11" t="s">
        <v>198</v>
      </c>
      <c r="D55" s="11" t="s">
        <v>203</v>
      </c>
      <c r="E55" s="11" t="s">
        <v>235</v>
      </c>
      <c r="F55" s="25" t="s">
        <v>452</v>
      </c>
    </row>
    <row r="56" spans="1:7" x14ac:dyDescent="0.35">
      <c r="A56" s="12">
        <f>DATE(2026,11,3)</f>
        <v>46329</v>
      </c>
      <c r="B56" s="13" t="str">
        <f t="shared" ref="B56:B82" si="2">TEXT($A56,"ddd")</f>
        <v>Tue</v>
      </c>
      <c r="C56" s="16" t="s">
        <v>167</v>
      </c>
      <c r="D56" s="11" t="s">
        <v>204</v>
      </c>
      <c r="E56" s="11" t="s">
        <v>121</v>
      </c>
      <c r="F56" s="25" t="s">
        <v>454</v>
      </c>
    </row>
    <row r="57" spans="1:7" x14ac:dyDescent="0.35">
      <c r="A57" s="12">
        <f>DATE(2026,11,10)</f>
        <v>46336</v>
      </c>
      <c r="B57" s="13" t="str">
        <f t="shared" si="2"/>
        <v>Tue</v>
      </c>
      <c r="C57" s="16" t="s">
        <v>480</v>
      </c>
      <c r="D57" s="11" t="s">
        <v>205</v>
      </c>
      <c r="E57" s="11" t="s">
        <v>124</v>
      </c>
      <c r="F57" s="25" t="s">
        <v>455</v>
      </c>
    </row>
    <row r="58" spans="1:7" x14ac:dyDescent="0.35">
      <c r="A58" s="12">
        <f>DATE(2026,11,24)</f>
        <v>46350</v>
      </c>
      <c r="B58" s="13" t="str">
        <f t="shared" si="2"/>
        <v>Tue</v>
      </c>
      <c r="C58" s="16" t="s">
        <v>465</v>
      </c>
      <c r="D58" s="11" t="s">
        <v>466</v>
      </c>
      <c r="E58" s="11" t="s">
        <v>124</v>
      </c>
      <c r="F58" s="25" t="s">
        <v>467</v>
      </c>
    </row>
    <row r="59" spans="1:7" x14ac:dyDescent="0.35">
      <c r="A59" s="12">
        <f>DATE(2026,12,16)</f>
        <v>46372</v>
      </c>
      <c r="B59" s="13" t="str">
        <f t="shared" si="2"/>
        <v>Wed</v>
      </c>
      <c r="C59" s="16" t="s">
        <v>479</v>
      </c>
      <c r="D59" s="16" t="s">
        <v>206</v>
      </c>
      <c r="E59" s="11" t="s">
        <v>131</v>
      </c>
      <c r="F59" s="25" t="s">
        <v>456</v>
      </c>
    </row>
    <row r="60" spans="1:7" x14ac:dyDescent="0.35">
      <c r="A60" s="12">
        <f>DATE(2027,1,1)</f>
        <v>46388</v>
      </c>
      <c r="B60" s="13" t="str">
        <f t="shared" si="2"/>
        <v>Fri</v>
      </c>
      <c r="C60" s="16" t="s">
        <v>234</v>
      </c>
      <c r="D60" s="11" t="s">
        <v>207</v>
      </c>
      <c r="E60" s="11" t="s">
        <v>131</v>
      </c>
      <c r="F60" s="25" t="s">
        <v>413</v>
      </c>
    </row>
    <row r="61" spans="1:7" x14ac:dyDescent="0.35">
      <c r="A61" s="12">
        <f>DATE(2027,1,30)</f>
        <v>46417</v>
      </c>
      <c r="B61" s="13" t="str">
        <f t="shared" si="2"/>
        <v>Sat</v>
      </c>
      <c r="C61" s="11" t="s">
        <v>168</v>
      </c>
      <c r="D61" s="11" t="s">
        <v>208</v>
      </c>
      <c r="E61" s="11" t="s">
        <v>121</v>
      </c>
      <c r="F61" s="25" t="s">
        <v>416</v>
      </c>
    </row>
    <row r="62" spans="1:7" x14ac:dyDescent="0.35">
      <c r="A62" s="12">
        <f>DATE(2027,2,18)</f>
        <v>46436</v>
      </c>
      <c r="B62" s="13" t="str">
        <f t="shared" si="2"/>
        <v>Thu</v>
      </c>
      <c r="C62" s="11" t="s">
        <v>237</v>
      </c>
      <c r="D62" s="11" t="s">
        <v>238</v>
      </c>
      <c r="E62" s="11" t="s">
        <v>236</v>
      </c>
      <c r="F62" s="26" t="s">
        <v>417</v>
      </c>
    </row>
    <row r="63" spans="1:7" x14ac:dyDescent="0.35">
      <c r="A63" s="12">
        <f>DATE(2027,3,19)</f>
        <v>46465</v>
      </c>
      <c r="B63" s="13" t="str">
        <f t="shared" si="2"/>
        <v>Fri</v>
      </c>
      <c r="C63" s="11" t="s">
        <v>169</v>
      </c>
      <c r="D63" s="11" t="s">
        <v>209</v>
      </c>
      <c r="E63" s="11" t="s">
        <v>124</v>
      </c>
      <c r="F63" s="26" t="s">
        <v>453</v>
      </c>
    </row>
    <row r="64" spans="1:7" x14ac:dyDescent="0.35">
      <c r="A64" s="12">
        <f>DATE(2027,3,25)</f>
        <v>46471</v>
      </c>
      <c r="B64" s="13" t="str">
        <f t="shared" si="2"/>
        <v>Thu</v>
      </c>
      <c r="C64" s="11" t="s">
        <v>170</v>
      </c>
      <c r="D64" s="11" t="s">
        <v>210</v>
      </c>
      <c r="E64" s="11" t="s">
        <v>121</v>
      </c>
      <c r="F64" s="26" t="s">
        <v>424</v>
      </c>
    </row>
    <row r="65" spans="1:6" x14ac:dyDescent="0.35">
      <c r="A65" s="12">
        <f>DATE(2027,4,3)</f>
        <v>46480</v>
      </c>
      <c r="B65" s="13" t="str">
        <f t="shared" si="2"/>
        <v>Sat</v>
      </c>
      <c r="C65" s="16" t="s">
        <v>224</v>
      </c>
      <c r="D65" s="11" t="s">
        <v>211</v>
      </c>
      <c r="E65" s="11" t="s">
        <v>236</v>
      </c>
      <c r="F65" s="26" t="s">
        <v>458</v>
      </c>
    </row>
    <row r="66" spans="1:6" x14ac:dyDescent="0.35">
      <c r="A66" s="12">
        <f>DATE(2027,4,9)</f>
        <v>46486</v>
      </c>
      <c r="B66" s="13" t="str">
        <f t="shared" si="2"/>
        <v>Fri</v>
      </c>
      <c r="C66" s="11" t="s">
        <v>169</v>
      </c>
      <c r="D66" s="11" t="s">
        <v>209</v>
      </c>
      <c r="E66" s="11" t="s">
        <v>124</v>
      </c>
      <c r="F66" s="26" t="s">
        <v>453</v>
      </c>
    </row>
    <row r="67" spans="1:6" x14ac:dyDescent="0.35">
      <c r="A67" s="12">
        <f>DATE(2027,5,19)</f>
        <v>46526</v>
      </c>
      <c r="B67" s="13" t="str">
        <f t="shared" si="2"/>
        <v>Wed</v>
      </c>
      <c r="C67" s="11" t="s">
        <v>171</v>
      </c>
      <c r="D67" s="11" t="s">
        <v>212</v>
      </c>
      <c r="E67" s="11" t="s">
        <v>235</v>
      </c>
      <c r="F67" s="26" t="s">
        <v>425</v>
      </c>
    </row>
    <row r="68" spans="1:6" x14ac:dyDescent="0.35">
      <c r="A68" s="12">
        <f>DATE(2027,5,20)</f>
        <v>46527</v>
      </c>
      <c r="B68" s="13" t="str">
        <f t="shared" si="2"/>
        <v>Thu</v>
      </c>
      <c r="C68" s="11" t="s">
        <v>172</v>
      </c>
      <c r="D68" s="11" t="s">
        <v>213</v>
      </c>
      <c r="E68" s="11" t="s">
        <v>235</v>
      </c>
      <c r="F68" s="26" t="s">
        <v>425</v>
      </c>
    </row>
    <row r="69" spans="1:6" x14ac:dyDescent="0.35">
      <c r="A69" s="12">
        <f>DATE(2027,5,21)</f>
        <v>46528</v>
      </c>
      <c r="B69" s="13" t="str">
        <f t="shared" si="2"/>
        <v>Fri</v>
      </c>
      <c r="C69" s="11" t="s">
        <v>173</v>
      </c>
      <c r="D69" s="11" t="s">
        <v>214</v>
      </c>
      <c r="E69" s="11" t="s">
        <v>235</v>
      </c>
      <c r="F69" s="26" t="s">
        <v>425</v>
      </c>
    </row>
    <row r="70" spans="1:6" x14ac:dyDescent="0.35">
      <c r="A70" s="12">
        <f>DATE(2027,5,28)</f>
        <v>46535</v>
      </c>
      <c r="B70" s="13" t="str">
        <f t="shared" si="2"/>
        <v>Fri</v>
      </c>
      <c r="C70" s="11" t="s">
        <v>174</v>
      </c>
      <c r="D70" s="11" t="s">
        <v>215</v>
      </c>
      <c r="E70" s="11" t="s">
        <v>121</v>
      </c>
      <c r="F70" s="26" t="s">
        <v>459</v>
      </c>
    </row>
    <row r="71" spans="1:6" x14ac:dyDescent="0.35">
      <c r="A71" s="12">
        <f>DATE(2027,6,11)</f>
        <v>46549</v>
      </c>
      <c r="B71" s="13" t="str">
        <f t="shared" si="2"/>
        <v>Fri</v>
      </c>
      <c r="C71" s="11" t="s">
        <v>261</v>
      </c>
      <c r="D71" s="11" t="s">
        <v>209</v>
      </c>
      <c r="E71" s="11" t="s">
        <v>124</v>
      </c>
      <c r="F71" s="26" t="s">
        <v>453</v>
      </c>
    </row>
    <row r="72" spans="1:6" x14ac:dyDescent="0.35">
      <c r="A72" s="12">
        <f>DATE(2027,7,9)</f>
        <v>46577</v>
      </c>
      <c r="B72" s="13" t="str">
        <f t="shared" si="2"/>
        <v>Fri</v>
      </c>
      <c r="C72" s="11" t="s">
        <v>169</v>
      </c>
      <c r="D72" s="11" t="s">
        <v>209</v>
      </c>
      <c r="E72" s="11" t="s">
        <v>124</v>
      </c>
      <c r="F72" s="26" t="s">
        <v>453</v>
      </c>
    </row>
    <row r="73" spans="1:6" x14ac:dyDescent="0.35">
      <c r="A73" s="12">
        <f>DATE(2027,7,30)</f>
        <v>46598</v>
      </c>
      <c r="B73" s="13" t="str">
        <f t="shared" si="2"/>
        <v>Fri</v>
      </c>
      <c r="C73" s="11" t="s">
        <v>175</v>
      </c>
      <c r="D73" s="11" t="s">
        <v>216</v>
      </c>
      <c r="E73" s="11" t="s">
        <v>124</v>
      </c>
      <c r="F73" s="26" t="s">
        <v>453</v>
      </c>
    </row>
    <row r="74" spans="1:6" x14ac:dyDescent="0.35">
      <c r="A74" s="12">
        <f>DATE(2027,8,16)</f>
        <v>46615</v>
      </c>
      <c r="B74" s="13" t="str">
        <f t="shared" si="2"/>
        <v>Mon</v>
      </c>
      <c r="C74" s="11" t="s">
        <v>176</v>
      </c>
      <c r="D74" s="11" t="s">
        <v>217</v>
      </c>
      <c r="E74" s="11" t="s">
        <v>235</v>
      </c>
      <c r="F74" s="26" t="s">
        <v>457</v>
      </c>
    </row>
    <row r="75" spans="1:6" x14ac:dyDescent="0.35">
      <c r="A75" s="12">
        <f>DATE(2027,8,20)</f>
        <v>46619</v>
      </c>
      <c r="B75" s="13" t="str">
        <f t="shared" si="2"/>
        <v>Fri</v>
      </c>
      <c r="C75" s="11" t="s">
        <v>177</v>
      </c>
      <c r="D75" s="11" t="s">
        <v>218</v>
      </c>
      <c r="E75" s="11" t="s">
        <v>124</v>
      </c>
      <c r="F75" s="26" t="s">
        <v>453</v>
      </c>
    </row>
    <row r="76" spans="1:6" x14ac:dyDescent="0.35">
      <c r="A76" s="12">
        <f>DATE(2027,9,10)</f>
        <v>46640</v>
      </c>
      <c r="B76" s="13" t="str">
        <f t="shared" si="2"/>
        <v>Fri</v>
      </c>
      <c r="C76" s="11" t="s">
        <v>169</v>
      </c>
      <c r="D76" s="11" t="s">
        <v>209</v>
      </c>
      <c r="E76" s="11" t="s">
        <v>124</v>
      </c>
      <c r="F76" s="26" t="s">
        <v>453</v>
      </c>
    </row>
    <row r="77" spans="1:6" x14ac:dyDescent="0.35">
      <c r="A77" s="12">
        <f>DATE(2027,9,18)</f>
        <v>46648</v>
      </c>
      <c r="B77" s="13" t="str">
        <f t="shared" si="2"/>
        <v>Sat</v>
      </c>
      <c r="C77" s="11" t="s">
        <v>178</v>
      </c>
      <c r="D77" s="11" t="s">
        <v>219</v>
      </c>
      <c r="E77" s="11" t="s">
        <v>131</v>
      </c>
      <c r="F77" s="26" t="s">
        <v>451</v>
      </c>
    </row>
    <row r="78" spans="1:6" x14ac:dyDescent="0.35">
      <c r="A78" s="12">
        <f>DATE(2027,10,1)</f>
        <v>46661</v>
      </c>
      <c r="B78" s="13" t="str">
        <f t="shared" si="2"/>
        <v>Fri</v>
      </c>
      <c r="C78" s="11" t="s">
        <v>169</v>
      </c>
      <c r="D78" s="11" t="s">
        <v>209</v>
      </c>
      <c r="E78" s="11" t="s">
        <v>124</v>
      </c>
      <c r="F78" s="26" t="s">
        <v>453</v>
      </c>
    </row>
    <row r="79" spans="1:6" x14ac:dyDescent="0.35">
      <c r="A79" s="12">
        <f>DATE(2027,10,15)</f>
        <v>46675</v>
      </c>
      <c r="B79" s="13" t="str">
        <f t="shared" si="2"/>
        <v>Fri</v>
      </c>
      <c r="C79" s="11" t="s">
        <v>169</v>
      </c>
      <c r="D79" s="11" t="s">
        <v>209</v>
      </c>
      <c r="E79" s="11" t="s">
        <v>124</v>
      </c>
      <c r="F79" s="26" t="s">
        <v>453</v>
      </c>
    </row>
    <row r="80" spans="1:6" x14ac:dyDescent="0.35">
      <c r="A80" s="12">
        <f>DATE(2027,11,12)</f>
        <v>46703</v>
      </c>
      <c r="B80" s="13" t="str">
        <f t="shared" si="2"/>
        <v>Fri</v>
      </c>
      <c r="C80" s="11" t="s">
        <v>169</v>
      </c>
      <c r="D80" s="11" t="s">
        <v>209</v>
      </c>
      <c r="E80" s="11" t="s">
        <v>124</v>
      </c>
      <c r="F80" s="26" t="s">
        <v>453</v>
      </c>
    </row>
    <row r="81" spans="1:6" x14ac:dyDescent="0.35">
      <c r="A81" s="12">
        <f>DATE(2027,11,26)</f>
        <v>46717</v>
      </c>
      <c r="B81" s="13" t="str">
        <f t="shared" si="2"/>
        <v>Fri</v>
      </c>
      <c r="C81" s="16" t="s">
        <v>465</v>
      </c>
      <c r="D81" s="11" t="s">
        <v>466</v>
      </c>
      <c r="E81" s="11" t="s">
        <v>124</v>
      </c>
      <c r="F81" s="25" t="s">
        <v>467</v>
      </c>
    </row>
    <row r="82" spans="1:6" x14ac:dyDescent="0.35">
      <c r="A82" s="12">
        <f>DATE(2027,12,16)</f>
        <v>46737</v>
      </c>
      <c r="B82" s="13" t="str">
        <f t="shared" si="2"/>
        <v>Thu</v>
      </c>
      <c r="C82" s="11" t="s">
        <v>166</v>
      </c>
      <c r="D82" s="16" t="s">
        <v>206</v>
      </c>
      <c r="E82" s="11" t="s">
        <v>131</v>
      </c>
      <c r="F82" s="26" t="s">
        <v>456</v>
      </c>
    </row>
  </sheetData>
  <autoFilter ref="A1:E82" xr:uid="{00000000-0001-0000-0400-000000000000}">
    <filterColumn colId="2">
      <iconFilter iconSet="3Arrows"/>
    </filterColumn>
  </autoFilter>
  <hyperlinks>
    <hyperlink ref="D37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263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252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252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252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252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252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263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328</v>
      </c>
      <c r="B2" t="s">
        <v>264</v>
      </c>
      <c r="C2" t="s">
        <v>265</v>
      </c>
      <c r="D2" t="s">
        <v>360</v>
      </c>
      <c r="E2" t="s">
        <v>361</v>
      </c>
      <c r="F2" s="4" t="str">
        <f>G2&amp;H2</f>
        <v>jinhoa.jpg</v>
      </c>
      <c r="G2" t="s">
        <v>380</v>
      </c>
      <c r="H2" t="s">
        <v>379</v>
      </c>
    </row>
    <row r="3" spans="1:8" x14ac:dyDescent="0.35">
      <c r="A3" s="22" t="s">
        <v>329</v>
      </c>
      <c r="B3" t="s">
        <v>266</v>
      </c>
      <c r="C3" t="s">
        <v>297</v>
      </c>
      <c r="D3" t="s">
        <v>362</v>
      </c>
      <c r="E3" t="s">
        <v>363</v>
      </c>
      <c r="F3" s="4" t="str">
        <f t="shared" ref="F3:F33" si="0">G3&amp;H3</f>
        <v>kathy.jpg</v>
      </c>
      <c r="G3" t="s">
        <v>381</v>
      </c>
      <c r="H3" t="s">
        <v>379</v>
      </c>
    </row>
    <row r="4" spans="1:8" x14ac:dyDescent="0.35">
      <c r="A4" s="22" t="s">
        <v>330</v>
      </c>
      <c r="B4" t="s">
        <v>267</v>
      </c>
      <c r="C4" t="s">
        <v>298</v>
      </c>
      <c r="D4" t="s">
        <v>364</v>
      </c>
      <c r="E4" t="s">
        <v>365</v>
      </c>
      <c r="F4" s="4" t="str">
        <f t="shared" si="0"/>
        <v>aceline.jpg</v>
      </c>
      <c r="G4" t="s">
        <v>382</v>
      </c>
      <c r="H4" t="s">
        <v>379</v>
      </c>
    </row>
    <row r="5" spans="1:8" x14ac:dyDescent="0.35">
      <c r="A5" s="22" t="s">
        <v>331</v>
      </c>
      <c r="B5" t="s">
        <v>268</v>
      </c>
      <c r="C5" t="s">
        <v>299</v>
      </c>
      <c r="D5" t="s">
        <v>366</v>
      </c>
      <c r="F5" s="4" t="str">
        <f t="shared" si="0"/>
        <v>agnes.jpg</v>
      </c>
      <c r="G5" t="s">
        <v>383</v>
      </c>
      <c r="H5" t="s">
        <v>379</v>
      </c>
    </row>
    <row r="6" spans="1:8" x14ac:dyDescent="0.35">
      <c r="A6" s="22" t="s">
        <v>332</v>
      </c>
      <c r="B6" t="s">
        <v>269</v>
      </c>
      <c r="C6" t="s">
        <v>300</v>
      </c>
      <c r="D6" t="s">
        <v>367</v>
      </c>
      <c r="F6" s="4" t="str">
        <f t="shared" si="0"/>
        <v>bryan.jpg</v>
      </c>
      <c r="G6" t="s">
        <v>384</v>
      </c>
      <c r="H6" t="s">
        <v>379</v>
      </c>
    </row>
    <row r="7" spans="1:8" x14ac:dyDescent="0.35">
      <c r="A7" s="22" t="s">
        <v>333</v>
      </c>
      <c r="B7" t="s">
        <v>270</v>
      </c>
      <c r="C7" t="s">
        <v>301</v>
      </c>
      <c r="D7" t="s">
        <v>368</v>
      </c>
      <c r="F7" s="4" t="str">
        <f t="shared" si="0"/>
        <v>yinyee.jpg</v>
      </c>
      <c r="G7" t="s">
        <v>385</v>
      </c>
      <c r="H7" t="s">
        <v>379</v>
      </c>
    </row>
    <row r="8" spans="1:8" x14ac:dyDescent="0.35">
      <c r="A8" s="22" t="s">
        <v>334</v>
      </c>
      <c r="B8" t="s">
        <v>271</v>
      </c>
      <c r="C8" t="s">
        <v>302</v>
      </c>
      <c r="D8" t="s">
        <v>369</v>
      </c>
      <c r="F8" s="4" t="str">
        <f t="shared" si="0"/>
        <v>jingyi.jpg</v>
      </c>
      <c r="G8" t="s">
        <v>386</v>
      </c>
      <c r="H8" t="s">
        <v>379</v>
      </c>
    </row>
    <row r="9" spans="1:8" x14ac:dyDescent="0.35">
      <c r="A9" s="22" t="s">
        <v>335</v>
      </c>
      <c r="B9" t="s">
        <v>272</v>
      </c>
      <c r="C9" t="s">
        <v>303</v>
      </c>
      <c r="D9" t="s">
        <v>370</v>
      </c>
      <c r="F9" s="4" t="str">
        <f t="shared" si="0"/>
        <v>chihwee.jpg</v>
      </c>
      <c r="G9" t="s">
        <v>387</v>
      </c>
      <c r="H9" t="s">
        <v>379</v>
      </c>
    </row>
    <row r="10" spans="1:8" x14ac:dyDescent="0.35">
      <c r="A10" s="22" t="s">
        <v>336</v>
      </c>
      <c r="B10" t="s">
        <v>273</v>
      </c>
      <c r="C10" t="s">
        <v>304</v>
      </c>
      <c r="D10" t="s">
        <v>371</v>
      </c>
      <c r="F10" s="4" t="str">
        <f t="shared" si="0"/>
        <v>crystal.jpg</v>
      </c>
      <c r="G10" t="s">
        <v>388</v>
      </c>
      <c r="H10" t="s">
        <v>379</v>
      </c>
    </row>
    <row r="11" spans="1:8" x14ac:dyDescent="0.35">
      <c r="A11" s="22" t="s">
        <v>337</v>
      </c>
      <c r="B11" t="s">
        <v>274</v>
      </c>
      <c r="C11" t="s">
        <v>305</v>
      </c>
      <c r="D11" t="s">
        <v>372</v>
      </c>
      <c r="F11" s="4" t="str">
        <f t="shared" si="0"/>
        <v>peiyuen.jpg</v>
      </c>
      <c r="G11" t="s">
        <v>389</v>
      </c>
      <c r="H11" t="s">
        <v>379</v>
      </c>
    </row>
    <row r="12" spans="1:8" x14ac:dyDescent="0.35">
      <c r="A12" s="22" t="s">
        <v>338</v>
      </c>
      <c r="B12" t="s">
        <v>275</v>
      </c>
      <c r="C12" t="s">
        <v>306</v>
      </c>
      <c r="D12" t="s">
        <v>373</v>
      </c>
      <c r="F12" s="4" t="str">
        <f t="shared" si="0"/>
        <v>doran.jpg</v>
      </c>
      <c r="G12" t="s">
        <v>390</v>
      </c>
      <c r="H12" t="s">
        <v>379</v>
      </c>
    </row>
    <row r="13" spans="1:8" x14ac:dyDescent="0.35">
      <c r="A13" s="22" t="s">
        <v>339</v>
      </c>
      <c r="B13" t="s">
        <v>276</v>
      </c>
      <c r="C13" t="s">
        <v>307</v>
      </c>
      <c r="D13" t="s">
        <v>374</v>
      </c>
      <c r="F13" s="4" t="str">
        <f t="shared" si="0"/>
        <v>alicia.jpg</v>
      </c>
      <c r="G13" t="s">
        <v>391</v>
      </c>
      <c r="H13" t="s">
        <v>379</v>
      </c>
    </row>
    <row r="14" spans="1:8" x14ac:dyDescent="0.35">
      <c r="A14" s="22" t="s">
        <v>340</v>
      </c>
      <c r="B14" t="s">
        <v>277</v>
      </c>
      <c r="C14" t="s">
        <v>308</v>
      </c>
      <c r="D14" t="s">
        <v>375</v>
      </c>
      <c r="E14" t="s">
        <v>376</v>
      </c>
      <c r="F14" s="4" t="str">
        <f t="shared" si="0"/>
        <v>keongeng.jpg</v>
      </c>
      <c r="G14" t="s">
        <v>392</v>
      </c>
      <c r="H14" t="s">
        <v>379</v>
      </c>
    </row>
    <row r="15" spans="1:8" x14ac:dyDescent="0.35">
      <c r="A15" s="22" t="s">
        <v>341</v>
      </c>
      <c r="B15" t="s">
        <v>278</v>
      </c>
      <c r="C15" t="s">
        <v>309</v>
      </c>
      <c r="D15" t="s">
        <v>375</v>
      </c>
      <c r="E15" t="s">
        <v>376</v>
      </c>
      <c r="F15" s="4" t="str">
        <f t="shared" si="0"/>
        <v>siokteng.jpg</v>
      </c>
      <c r="G15" t="s">
        <v>393</v>
      </c>
      <c r="H15" t="s">
        <v>379</v>
      </c>
    </row>
    <row r="16" spans="1:8" x14ac:dyDescent="0.35">
      <c r="A16" s="22" t="s">
        <v>342</v>
      </c>
      <c r="B16" t="s">
        <v>279</v>
      </c>
      <c r="C16" t="s">
        <v>310</v>
      </c>
      <c r="D16" t="s">
        <v>375</v>
      </c>
      <c r="E16" t="s">
        <v>376</v>
      </c>
      <c r="F16" s="4" t="str">
        <f t="shared" si="0"/>
        <v>vivian.jpg</v>
      </c>
      <c r="G16" t="s">
        <v>394</v>
      </c>
      <c r="H16" t="s">
        <v>379</v>
      </c>
    </row>
    <row r="17" spans="1:8" x14ac:dyDescent="0.35">
      <c r="A17" s="22" t="s">
        <v>343</v>
      </c>
      <c r="B17" t="s">
        <v>280</v>
      </c>
      <c r="C17" t="s">
        <v>311</v>
      </c>
      <c r="D17" t="s">
        <v>375</v>
      </c>
      <c r="E17" t="s">
        <v>376</v>
      </c>
      <c r="F17" s="4" t="str">
        <f t="shared" si="0"/>
        <v>bonteck.jpg</v>
      </c>
      <c r="G17" t="s">
        <v>395</v>
      </c>
      <c r="H17" t="s">
        <v>379</v>
      </c>
    </row>
    <row r="18" spans="1:8" x14ac:dyDescent="0.35">
      <c r="A18" s="22" t="s">
        <v>344</v>
      </c>
      <c r="B18" t="s">
        <v>281</v>
      </c>
      <c r="C18" t="s">
        <v>312</v>
      </c>
      <c r="D18" t="s">
        <v>375</v>
      </c>
      <c r="E18" t="s">
        <v>376</v>
      </c>
      <c r="F18" s="4" t="str">
        <f t="shared" si="0"/>
        <v>chinmee.jpg</v>
      </c>
      <c r="G18" t="s">
        <v>396</v>
      </c>
      <c r="H18" t="s">
        <v>379</v>
      </c>
    </row>
    <row r="19" spans="1:8" x14ac:dyDescent="0.35">
      <c r="A19" s="22" t="s">
        <v>345</v>
      </c>
      <c r="B19" t="s">
        <v>282</v>
      </c>
      <c r="C19" t="s">
        <v>313</v>
      </c>
      <c r="D19" t="s">
        <v>375</v>
      </c>
      <c r="E19" t="s">
        <v>376</v>
      </c>
      <c r="F19" s="4" t="str">
        <f t="shared" si="0"/>
        <v>soonmeng.jpg</v>
      </c>
      <c r="G19" t="s">
        <v>397</v>
      </c>
      <c r="H19" t="s">
        <v>379</v>
      </c>
    </row>
    <row r="20" spans="1:8" x14ac:dyDescent="0.35">
      <c r="A20" s="22" t="s">
        <v>346</v>
      </c>
      <c r="B20" t="s">
        <v>283</v>
      </c>
      <c r="C20" t="s">
        <v>314</v>
      </c>
      <c r="D20" t="s">
        <v>375</v>
      </c>
      <c r="E20" t="s">
        <v>376</v>
      </c>
      <c r="F20" s="4" t="str">
        <f t="shared" si="0"/>
        <v>yuehong.jpg</v>
      </c>
      <c r="G20" t="s">
        <v>398</v>
      </c>
      <c r="H20" t="s">
        <v>379</v>
      </c>
    </row>
    <row r="21" spans="1:8" x14ac:dyDescent="0.35">
      <c r="A21" s="22" t="s">
        <v>347</v>
      </c>
      <c r="B21" t="s">
        <v>284</v>
      </c>
      <c r="C21" t="s">
        <v>315</v>
      </c>
      <c r="D21" t="s">
        <v>375</v>
      </c>
      <c r="E21" t="s">
        <v>376</v>
      </c>
      <c r="F21" s="4" t="str">
        <f t="shared" si="0"/>
        <v>choejang.jpg</v>
      </c>
      <c r="G21" t="s">
        <v>399</v>
      </c>
      <c r="H21" t="s">
        <v>379</v>
      </c>
    </row>
    <row r="22" spans="1:8" x14ac:dyDescent="0.35">
      <c r="A22" s="22" t="s">
        <v>348</v>
      </c>
      <c r="B22" t="s">
        <v>285</v>
      </c>
      <c r="C22" t="s">
        <v>316</v>
      </c>
      <c r="D22" t="s">
        <v>375</v>
      </c>
      <c r="E22" t="s">
        <v>376</v>
      </c>
      <c r="F22" s="4" t="str">
        <f t="shared" si="0"/>
        <v>meichia.jpg</v>
      </c>
      <c r="G22" t="s">
        <v>400</v>
      </c>
      <c r="H22" t="s">
        <v>379</v>
      </c>
    </row>
    <row r="23" spans="1:8" x14ac:dyDescent="0.35">
      <c r="A23" s="22" t="s">
        <v>349</v>
      </c>
      <c r="B23" t="s">
        <v>286</v>
      </c>
      <c r="C23" t="s">
        <v>317</v>
      </c>
      <c r="D23" t="s">
        <v>375</v>
      </c>
      <c r="E23" t="s">
        <v>376</v>
      </c>
      <c r="F23" s="4" t="str">
        <f t="shared" si="0"/>
        <v>gekhee.jpg</v>
      </c>
      <c r="G23" t="s">
        <v>401</v>
      </c>
      <c r="H23" t="s">
        <v>379</v>
      </c>
    </row>
    <row r="24" spans="1:8" x14ac:dyDescent="0.35">
      <c r="A24" s="22" t="s">
        <v>350</v>
      </c>
      <c r="B24" t="s">
        <v>287</v>
      </c>
      <c r="C24" t="s">
        <v>318</v>
      </c>
      <c r="D24" t="s">
        <v>375</v>
      </c>
      <c r="E24" t="s">
        <v>376</v>
      </c>
      <c r="F24" s="4" t="str">
        <f t="shared" si="0"/>
        <v>aimee.jpg</v>
      </c>
      <c r="G24" t="s">
        <v>402</v>
      </c>
      <c r="H24" t="s">
        <v>379</v>
      </c>
    </row>
    <row r="25" spans="1:8" x14ac:dyDescent="0.35">
      <c r="A25" s="22" t="s">
        <v>351</v>
      </c>
      <c r="B25" t="s">
        <v>288</v>
      </c>
      <c r="C25" t="s">
        <v>319</v>
      </c>
      <c r="D25" t="s">
        <v>377</v>
      </c>
      <c r="E25" s="23" t="s">
        <v>378</v>
      </c>
      <c r="F25" s="4" t="str">
        <f t="shared" si="0"/>
        <v>geokchin.jpg</v>
      </c>
      <c r="G25" t="s">
        <v>403</v>
      </c>
      <c r="H25" t="s">
        <v>379</v>
      </c>
    </row>
    <row r="26" spans="1:8" x14ac:dyDescent="0.35">
      <c r="A26" s="22" t="s">
        <v>352</v>
      </c>
      <c r="B26" t="s">
        <v>289</v>
      </c>
      <c r="C26" t="s">
        <v>320</v>
      </c>
      <c r="D26" t="s">
        <v>377</v>
      </c>
      <c r="E26" s="23" t="s">
        <v>378</v>
      </c>
      <c r="F26" s="4" t="str">
        <f t="shared" si="0"/>
        <v>laysiew.jpg</v>
      </c>
      <c r="G26" t="s">
        <v>404</v>
      </c>
      <c r="H26" t="s">
        <v>379</v>
      </c>
    </row>
    <row r="27" spans="1:8" x14ac:dyDescent="0.35">
      <c r="A27" s="22" t="s">
        <v>353</v>
      </c>
      <c r="B27" t="s">
        <v>290</v>
      </c>
      <c r="C27" t="s">
        <v>321</v>
      </c>
      <c r="D27" t="s">
        <v>377</v>
      </c>
      <c r="E27" s="23" t="s">
        <v>378</v>
      </c>
      <c r="F27" s="4" t="str">
        <f t="shared" si="0"/>
        <v>waiyee.jpg</v>
      </c>
      <c r="G27" t="s">
        <v>405</v>
      </c>
      <c r="H27" t="s">
        <v>379</v>
      </c>
    </row>
    <row r="28" spans="1:8" x14ac:dyDescent="0.35">
      <c r="A28" s="22" t="s">
        <v>354</v>
      </c>
      <c r="B28" t="s">
        <v>291</v>
      </c>
      <c r="C28" t="s">
        <v>322</v>
      </c>
      <c r="D28" t="s">
        <v>377</v>
      </c>
      <c r="E28" s="23" t="s">
        <v>378</v>
      </c>
      <c r="F28" s="4" t="str">
        <f t="shared" si="0"/>
        <v>carol.jpg</v>
      </c>
      <c r="G28" t="s">
        <v>406</v>
      </c>
      <c r="H28" t="s">
        <v>379</v>
      </c>
    </row>
    <row r="29" spans="1:8" x14ac:dyDescent="0.35">
      <c r="A29" s="22" t="s">
        <v>355</v>
      </c>
      <c r="B29" t="s">
        <v>292</v>
      </c>
      <c r="C29" t="s">
        <v>323</v>
      </c>
      <c r="D29" t="s">
        <v>377</v>
      </c>
      <c r="E29" s="23" t="s">
        <v>378</v>
      </c>
      <c r="F29" s="4" t="str">
        <f t="shared" si="0"/>
        <v>yokewant.jpg</v>
      </c>
      <c r="G29" t="s">
        <v>407</v>
      </c>
      <c r="H29" t="s">
        <v>379</v>
      </c>
    </row>
    <row r="30" spans="1:8" x14ac:dyDescent="0.35">
      <c r="A30" s="22" t="s">
        <v>356</v>
      </c>
      <c r="B30" t="s">
        <v>293</v>
      </c>
      <c r="C30" t="s">
        <v>324</v>
      </c>
      <c r="D30" t="s">
        <v>377</v>
      </c>
      <c r="E30" s="23" t="s">
        <v>378</v>
      </c>
      <c r="F30" s="4" t="str">
        <f t="shared" si="0"/>
        <v>pohcheng.jpg</v>
      </c>
      <c r="G30" t="s">
        <v>408</v>
      </c>
      <c r="H30" t="s">
        <v>379</v>
      </c>
    </row>
    <row r="31" spans="1:8" x14ac:dyDescent="0.35">
      <c r="A31" s="22" t="s">
        <v>357</v>
      </c>
      <c r="B31" t="s">
        <v>294</v>
      </c>
      <c r="C31" t="s">
        <v>325</v>
      </c>
      <c r="D31" t="s">
        <v>377</v>
      </c>
      <c r="E31" s="23" t="s">
        <v>378</v>
      </c>
      <c r="F31" s="4" t="str">
        <f t="shared" si="0"/>
        <v>geoklan.jpg</v>
      </c>
      <c r="G31" t="s">
        <v>409</v>
      </c>
      <c r="H31" t="s">
        <v>379</v>
      </c>
    </row>
    <row r="32" spans="1:8" x14ac:dyDescent="0.35">
      <c r="A32" s="22" t="s">
        <v>358</v>
      </c>
      <c r="B32" t="s">
        <v>295</v>
      </c>
      <c r="C32" t="s">
        <v>326</v>
      </c>
      <c r="D32" t="s">
        <v>377</v>
      </c>
      <c r="E32" s="23" t="s">
        <v>378</v>
      </c>
      <c r="F32" s="4" t="str">
        <f t="shared" si="0"/>
        <v>laichee.jpg</v>
      </c>
      <c r="G32" t="s">
        <v>410</v>
      </c>
      <c r="H32" t="s">
        <v>379</v>
      </c>
    </row>
    <row r="33" spans="1:8" x14ac:dyDescent="0.35">
      <c r="A33" s="22" t="s">
        <v>359</v>
      </c>
      <c r="B33" t="s">
        <v>296</v>
      </c>
      <c r="C33" t="s">
        <v>327</v>
      </c>
      <c r="D33" t="s">
        <v>377</v>
      </c>
      <c r="E33" s="23" t="s">
        <v>378</v>
      </c>
      <c r="F33" s="4" t="str">
        <f t="shared" si="0"/>
        <v>beechoo.jpg</v>
      </c>
      <c r="G33" t="s">
        <v>411</v>
      </c>
      <c r="H33" t="s">
        <v>379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46255</v>
      </c>
    </row>
    <row r="3" spans="1:2" x14ac:dyDescent="0.35">
      <c r="A3" s="4" t="s">
        <v>36</v>
      </c>
      <c r="B3" s="4" t="s">
        <v>253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2026-08-21T05:41:52Z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