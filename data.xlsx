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2073" documentId="11_A88C884250063A86F00218599B70D26268CCBE65" xr6:coauthVersionLast="47" xr6:coauthVersionMax="47" xr10:uidLastSave="{499D16F0-E823-4994-8DE6-BEDA0B5A4A58}"/>
  <bookViews>
    <workbookView xWindow="-110" yWindow="-110" windowWidth="19420" windowHeight="11500" tabRatio="734" activeTab="2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'1_Events'!$A$1:$E$150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6" i="5" l="1"/>
  <c r="B96" i="5" s="1"/>
  <c r="A164" i="5"/>
  <c r="B164" i="5"/>
  <c r="A154" i="5"/>
  <c r="B154" i="5"/>
  <c r="A153" i="5"/>
  <c r="B153" i="5" s="1"/>
  <c r="A152" i="5"/>
  <c r="B152" i="5"/>
  <c r="A149" i="5"/>
  <c r="B149" i="5"/>
  <c r="A145" i="5"/>
  <c r="B145" i="5"/>
  <c r="A103" i="5"/>
  <c r="B103" i="5" s="1"/>
  <c r="A118" i="5"/>
  <c r="B118" i="5" s="1"/>
  <c r="A92" i="5"/>
  <c r="B92" i="5" s="1"/>
  <c r="A91" i="5"/>
  <c r="B91" i="5"/>
  <c r="A163" i="5"/>
  <c r="B163" i="5" s="1"/>
  <c r="A162" i="5"/>
  <c r="B162" i="5" s="1"/>
  <c r="A161" i="5"/>
  <c r="B161" i="5" s="1"/>
  <c r="A160" i="5"/>
  <c r="B160" i="5" s="1"/>
  <c r="A159" i="5"/>
  <c r="B159" i="5" s="1"/>
  <c r="A158" i="5"/>
  <c r="B158" i="5" s="1"/>
  <c r="A157" i="5"/>
  <c r="B157" i="5" s="1"/>
  <c r="A156" i="5"/>
  <c r="B156" i="5" s="1"/>
  <c r="A155" i="5"/>
  <c r="B155" i="5" s="1"/>
  <c r="A151" i="5"/>
  <c r="B151" i="5"/>
  <c r="A142" i="5"/>
  <c r="B142" i="5" s="1"/>
  <c r="A141" i="5"/>
  <c r="B141" i="5" s="1"/>
  <c r="A140" i="5"/>
  <c r="B140" i="5"/>
  <c r="A139" i="5"/>
  <c r="B139" i="5" s="1"/>
  <c r="A138" i="5"/>
  <c r="B138" i="5" s="1"/>
  <c r="A137" i="5"/>
  <c r="A136" i="5"/>
  <c r="A135" i="5"/>
  <c r="B135" i="5" s="1"/>
  <c r="B137" i="5"/>
  <c r="B136" i="5"/>
  <c r="A134" i="5"/>
  <c r="B134" i="5" s="1"/>
  <c r="A88" i="5"/>
  <c r="B88" i="5" s="1"/>
  <c r="A98" i="5"/>
  <c r="B98" i="5" s="1"/>
  <c r="A83" i="5"/>
  <c r="B83" i="5" s="1"/>
  <c r="A80" i="5"/>
  <c r="B80" i="5" s="1"/>
  <c r="A93" i="5"/>
  <c r="B93" i="5" s="1"/>
  <c r="A90" i="5"/>
  <c r="B90" i="5" s="1"/>
  <c r="A107" i="5"/>
  <c r="B107" i="5" s="1"/>
  <c r="A97" i="5"/>
  <c r="B97" i="5" s="1"/>
  <c r="A119" i="5"/>
  <c r="B119" i="5" s="1"/>
  <c r="A113" i="5"/>
  <c r="B113" i="5" s="1"/>
  <c r="A85" i="5"/>
  <c r="B85" i="5" s="1"/>
  <c r="A84" i="5"/>
  <c r="B84" i="5" s="1"/>
  <c r="A81" i="5"/>
  <c r="B81" i="5" s="1"/>
  <c r="A89" i="5"/>
  <c r="B89" i="5" s="1"/>
  <c r="A99" i="5"/>
  <c r="B99" i="5" s="1"/>
  <c r="A101" i="5"/>
  <c r="B101" i="5" s="1"/>
  <c r="A102" i="5"/>
  <c r="B102" i="5" s="1"/>
  <c r="A100" i="5"/>
  <c r="B100" i="5" s="1"/>
  <c r="A87" i="5"/>
  <c r="B87" i="5" s="1"/>
  <c r="A86" i="5"/>
  <c r="B86" i="5" s="1"/>
  <c r="A13" i="5"/>
  <c r="B13" i="5" s="1"/>
  <c r="A4" i="5"/>
  <c r="B4" i="5" s="1"/>
  <c r="A82" i="5"/>
  <c r="B82" i="5" s="1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5" i="5"/>
  <c r="B95" i="5" s="1"/>
  <c r="A94" i="5"/>
  <c r="B94" i="5" s="1"/>
  <c r="A105" i="5"/>
  <c r="B105" i="5" s="1"/>
  <c r="A104" i="5"/>
  <c r="B104" i="5" s="1"/>
  <c r="A111" i="5"/>
  <c r="B111" i="5" s="1"/>
  <c r="A110" i="5"/>
  <c r="B110" i="5" s="1"/>
  <c r="A109" i="5"/>
  <c r="B109" i="5" s="1"/>
  <c r="A114" i="5"/>
  <c r="B114" i="5" s="1"/>
  <c r="A117" i="5"/>
  <c r="B117" i="5" s="1"/>
  <c r="A121" i="5"/>
  <c r="B121" i="5" s="1"/>
  <c r="A120" i="5"/>
  <c r="B120" i="5" s="1"/>
  <c r="A123" i="5"/>
  <c r="B123" i="5" s="1"/>
  <c r="A130" i="5"/>
  <c r="B130" i="5" s="1"/>
  <c r="A144" i="5"/>
  <c r="B144" i="5" s="1"/>
  <c r="A150" i="5"/>
  <c r="B15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106" i="5"/>
  <c r="B106" i="5" s="1"/>
  <c r="A108" i="5"/>
  <c r="B108" i="5" s="1"/>
  <c r="A112" i="5"/>
  <c r="B112" i="5" s="1"/>
  <c r="A115" i="5"/>
  <c r="B115" i="5" s="1"/>
  <c r="A116" i="5"/>
  <c r="B116" i="5" s="1"/>
  <c r="A122" i="5"/>
  <c r="B122" i="5" s="1"/>
  <c r="A124" i="5"/>
  <c r="B124" i="5" s="1"/>
  <c r="A125" i="5"/>
  <c r="B125" i="5" s="1"/>
  <c r="A126" i="5"/>
  <c r="B126" i="5" s="1"/>
  <c r="A127" i="5"/>
  <c r="B127" i="5" s="1"/>
  <c r="A128" i="5"/>
  <c r="B128" i="5" s="1"/>
  <c r="A129" i="5"/>
  <c r="B129" i="5" s="1"/>
  <c r="A131" i="5"/>
  <c r="B131" i="5" s="1"/>
  <c r="A132" i="5"/>
  <c r="B132" i="5" s="1"/>
  <c r="A133" i="5"/>
  <c r="B133" i="5" s="1"/>
  <c r="A143" i="5"/>
  <c r="B143" i="5" s="1"/>
  <c r="A146" i="5"/>
  <c r="B146" i="5" s="1"/>
  <c r="A147" i="5"/>
  <c r="B147" i="5" s="1"/>
  <c r="A148" i="5"/>
  <c r="B148" i="5" s="1"/>
</calcChain>
</file>

<file path=xl/sharedStrings.xml><?xml version="1.0" encoding="utf-8"?>
<sst xmlns="http://schemas.openxmlformats.org/spreadsheetml/2006/main" count="1147" uniqueCount="620">
  <si>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</si>
  <si>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</si>
  <si>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</si>
  <si>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</si>
  <si>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</si>
  <si>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</si>
  <si>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</si>
  <si>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</si>
  <si>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</si>
  <si>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</si>
  <si>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</si>
  <si>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</si>
  <si>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</si>
  <si>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</si>
  <si>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</si>
  <si>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</si>
  <si>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</si>
  <si>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</si>
  <si>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</si>
  <si>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</si>
  <si>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</si>
  <si>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</si>
  <si>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</si>
  <si>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</si>
  <si>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</si>
  <si>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</si>
  <si>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</si>
  <si>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</si>
  <si>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</si>
  <si>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</si>
  <si>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</si>
  <si>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</si>
  <si>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</si>
  <si>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</si>
  <si>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</si>
  <si>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</si>
  <si>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</si>
  <si>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</si>
  <si>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</si>
  <si>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</si>
  <si>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</si>
  <si>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</si>
  <si>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</si>
  <si>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</si>
  <si>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</si>
  <si>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</si>
  <si>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</si>
  <si>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</si>
  <si>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</si>
  <si>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</si>
  <si>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</si>
  <si>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</si>
  <si>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</si>
  <si>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</si>
  <si>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</si>
  <si>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</si>
  <si>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</si>
  <si>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</si>
  <si>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</si>
  <si>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</si>
  <si>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</si>
  <si>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</si>
  <si>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</si>
  <si>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</si>
  <si>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</si>
  <si>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</si>
  <si>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</si>
  <si>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</si>
  <si>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</si>
  <si>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</si>
  <si>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</si>
  <si>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</si>
  <si>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</si>
  <si>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</si>
  <si>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</si>
  <si>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</si>
  <si>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</si>
  <si>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</si>
  <si>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</si>
  <si>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</si>
  <si>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</si>
  <si>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</si>
  <si>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</si>
  <si>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</si>
  <si>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</si>
  <si>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</si>
  <si>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</si>
  <si>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</si>
  <si>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</si>
  <si>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</si>
  <si>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</si>
  <si>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</si>
  <si>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</si>
  <si>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</si>
  <si>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</si>
  <si>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</si>
  <si>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</si>
  <si>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</si>
  <si>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</si>
  <si>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</si>
  <si>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</si>
  <si>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</si>
  <si>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</si>
  <si>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</si>
  <si>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</si>
  <si>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</si>
  <si>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</si>
  <si>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</si>
  <si>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</si>
  <si>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</si>
  <si>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</si>
  <si>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</si>
  <si>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</si>
  <si>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</si>
  <si>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</si>
  <si>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</si>
  <si>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</si>
  <si>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</si>
  <si>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</si>
  <si>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</si>
  <si>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</si>
  <si>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</si>
  <si>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</si>
  <si>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</si>
  <si>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</si>
  <si>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</si>
  <si>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</si>
  <si>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</si>
  <si>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</si>
  <si>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</si>
  <si>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</si>
  <si>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</si>
  <si>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</si>
  <si>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</si>
  <si>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</si>
  <si>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</si>
  <si>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</si>
  <si>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</si>
  <si>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</si>
  <si>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</si>
  <si>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</si>
  <si>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</si>
  <si>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</si>
  <si>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</si>
  <si>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</si>
  <si>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</si>
  <si>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</si>
  <si>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</si>
  <si>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</si>
  <si>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</si>
  <si>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</si>
  <si>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</si>
  <si>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</si>
  <si>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</si>
  <si>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</si>
  <si>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</si>
  <si>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</si>
  <si>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</si>
  <si>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</si>
  <si>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</si>
  <si>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</si>
  <si>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</si>
  <si>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</si>
  <si>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</si>
  <si>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</si>
  <si>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</si>
  <si>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</si>
  <si>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</si>
  <si>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</si>
  <si>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</si>
  <si>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</si>
  <si>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</si>
  <si>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</si>
  <si>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</si>
  <si>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</si>
  <si>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</si>
  <si>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</si>
  <si>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</si>
  <si>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</si>
  <si>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</si>
  <si>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</si>
  <si>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</si>
  <si>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</si>
  <si>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</si>
  <si>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</si>
  <si>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</si>
  <si>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</si>
  <si>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</si>
  <si>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</si>
  <si>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</si>
  <si>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</si>
  <si>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</si>
  <si>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</si>
  <si>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</si>
  <si>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</si>
  <si>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</si>
  <si>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</si>
  <si>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</si>
  <si>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</si>
  <si>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</si>
  <si>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</si>
  <si>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</si>
  <si>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</si>
  <si>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</si>
  <si>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</si>
  <si>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</si>
  <si>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</si>
  <si>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</si>
  <si>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</si>
  <si>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</si>
  <si>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</si>
  <si>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</si>
  <si>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</si>
  <si>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</si>
  <si>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</si>
  <si>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</si>
  <si>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</si>
  <si>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</si>
  <si>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</si>
  <si>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</si>
  <si>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</si>
  <si>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</si>
  <si>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</si>
  <si>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</si>
  <si>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</si>
  <si>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</si>
  <si>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</si>
  <si>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</si>
  <si>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</si>
  <si>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</si>
  <si>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</si>
  <si>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</si>
  <si>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</si>
  <si>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</si>
  <si>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</si>
  <si>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</si>
  <si>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</si>
  <si>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</si>
  <si>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</si>
  <si>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</si>
  <si>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</si>
  <si>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</si>
  <si>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</si>
  <si>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</si>
  <si>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</si>
  <si>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</si>
  <si>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</si>
  <si>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</si>
  <si>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</si>
  <si>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</si>
  <si>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</si>
  <si>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</si>
  <si>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</si>
  <si>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</si>
  <si>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</si>
  <si>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</si>
  <si>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</si>
  <si>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</si>
  <si>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</si>
  <si>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</si>
  <si>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</si>
  <si>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</si>
  <si>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</si>
  <si>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</si>
  <si>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</si>
  <si>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</si>
  <si>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</si>
  <si>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</si>
  <si>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</si>
  <si>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</si>
  <si>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</si>
  <si>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</si>
  <si>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</si>
  <si>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</si>
  <si>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</si>
  <si>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</si>
  <si>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</si>
  <si>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</si>
  <si>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</si>
  <si>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</si>
  <si>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</si>
  <si>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</si>
  <si>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</si>
  <si>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</si>
  <si>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</si>
  <si>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</si>
  <si>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</si>
  <si>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</si>
  <si>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</si>
  <si>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</si>
  <si>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</si>
  <si>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</si>
  <si>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</si>
  <si>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</si>
  <si>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</si>
  <si>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</si>
  <si>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</si>
  <si>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</si>
  <si>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</si>
  <si>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</si>
  <si>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</si>
  <si>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</si>
  <si>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</si>
  <si>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</si>
  <si>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</si>
  <si>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</si>
  <si>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</si>
  <si>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</si>
  <si>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</si>
  <si>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</si>
  <si>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</si>
  <si>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</si>
  <si>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</si>
  <si>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</si>
  <si>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</si>
  <si>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</si>
  <si>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</si>
  <si>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</si>
  <si>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</si>
  <si>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</si>
  <si>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</si>
  <si>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</si>
  <si>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</si>
  <si>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</si>
  <si>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</si>
  <si>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</si>
  <si>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</si>
  <si>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</si>
  <si>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</si>
  <si>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</si>
  <si>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</si>
  <si>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</si>
  <si>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</si>
  <si>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</si>
  <si>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</si>
  <si>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</si>
  <si>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</si>
  <si>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</si>
  <si>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</si>
  <si>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</si>
  <si>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</si>
  <si>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</si>
  <si>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</si>
  <si>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</si>
  <si>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</si>
  <si>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</si>
  <si>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</si>
  <si>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</si>
  <si>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</si>
  <si>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</si>
  <si>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</si>
  <si>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</si>
  <si>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</si>
  <si>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</si>
  <si>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</si>
  <si>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</si>
  <si>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</si>
  <si>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</si>
  <si>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</si>
  <si>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</si>
  <si>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</si>
  <si>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</si>
  <si>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</si>
  <si>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</si>
  <si>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</si>
  <si>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</si>
  <si>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</si>
  <si>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</si>
  <si>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</si>
  <si>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</si>
  <si>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</si>
  <si>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</si>
  <si>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</si>
  <si>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</si>
  <si>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</si>
  <si>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</si>
  <si>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</si>
  <si>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</si>
  <si>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</si>
  <si>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</si>
  <si>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</si>
  <si>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</si>
  <si>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</si>
  <si>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</si>
  <si>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</si>
  <si>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</si>
  <si>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</si>
  <si>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</si>
  <si>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</si>
  <si>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</si>
  <si>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</si>
  <si>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</si>
  <si>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</si>
  <si>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</si>
  <si>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</si>
  <si>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</si>
  <si>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</si>
  <si>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</si>
  <si>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</si>
  <si>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</si>
  <si>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</si>
  <si>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</si>
  <si>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</si>
  <si>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</si>
  <si>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</si>
  <si>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</si>
  <si>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</si>
  <si>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</si>
  <si>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</si>
  <si>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</si>
  <si>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</si>
  <si>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</si>
  <si>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</si>
  <si>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</si>
  <si>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</si>
  <si>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</si>
  <si>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</si>
  <si>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</si>
  <si>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</si>
  <si>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</si>
  <si>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</si>
  <si>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</si>
  <si>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</si>
  <si>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</si>
  <si>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</si>
  <si>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</si>
  <si>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</si>
  <si>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</si>
  <si>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</si>
  <si>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</si>
  <si>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</si>
  <si>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</si>
  <si>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</si>
  <si>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</si>
  <si>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</si>
  <si>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</si>
  <si>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</si>
  <si>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</si>
  <si>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</si>
  <si>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</si>
  <si>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</si>
  <si>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</si>
  <si>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</si>
  <si>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</si>
  <si>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</si>
  <si>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</si>
  <si>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</si>
  <si>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</si>
  <si>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</si>
  <si>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</si>
  <si>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</si>
  <si>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</si>
  <si>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</si>
  <si>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</si>
  <si>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</si>
  <si>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</si>
  <si>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</si>
  <si>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</si>
  <si>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</si>
  <si>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</si>
  <si>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</si>
  <si>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</si>
  <si>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</si>
  <si>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</si>
  <si>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</si>
  <si>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</si>
  <si>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</si>
  <si>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</si>
  <si>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</si>
  <si>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</si>
  <si>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</si>
  <si>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</si>
  <si>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</si>
  <si>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</si>
  <si>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</si>
  <si>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</si>
  <si>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</si>
  <si>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</si>
  <si>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</si>
  <si>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</si>
  <si>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</si>
  <si>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</si>
  <si>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</si>
  <si>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</si>
  <si>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</si>
  <si>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</si>
  <si>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</si>
  <si>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</si>
  <si>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</si>
  <si>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</si>
  <si>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</si>
  <si>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</si>
  <si>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</si>
  <si>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</si>
  <si>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</si>
  <si>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</si>
  <si>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</si>
  <si>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</si>
  <si>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</si>
  <si>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</si>
  <si>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</si>
  <si>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</si>
  <si>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</si>
  <si>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</si>
  <si>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</si>
  <si>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</si>
  <si>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</si>
  <si>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</si>
  <si>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</si>
  <si>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</si>
  <si>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</si>
  <si>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</si>
  <si>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</si>
  <si>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</si>
  <si>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</si>
  <si>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</si>
  <si>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</si>
  <si>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</si>
  <si>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</si>
  <si>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</si>
  <si>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</si>
  <si>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</si>
  <si>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</si>
  <si>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</si>
  <si>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</si>
  <si>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</si>
  <si>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</si>
  <si>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</si>
  <si>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</si>
  <si>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</si>
  <si>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</si>
  <si>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</si>
  <si>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</si>
  <si>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</si>
  <si>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</si>
  <si>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</si>
  <si>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</si>
  <si>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</si>
  <si>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</si>
  <si>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</si>
  <si>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</si>
  <si>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</si>
  <si>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</si>
  <si>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</si>
  <si>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</si>
  <si>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</si>
  <si>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</si>
  <si>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</si>
  <si>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</si>
  <si>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</si>
  <si>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</si>
  <si>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</si>
  <si>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</si>
  <si>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</si>
  <si>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</si>
  <si>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</si>
  <si>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</si>
  <si>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</si>
  <si>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</si>
  <si>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</si>
  <si>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</si>
  <si>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</si>
  <si>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</si>
  <si>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</si>
  <si>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</si>
  <si>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</si>
  <si>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</si>
  <si>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</si>
  <si>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</si>
  <si>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</si>
  <si>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</si>
  <si>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</si>
  <si>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</si>
  <si>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</si>
  <si>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</si>
  <si>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</si>
  <si>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</si>
  <si>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</si>
  <si>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</si>
  <si>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</si>
  <si>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</si>
  <si>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</si>
  <si>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</si>
  <si>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</si>
  <si>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</si>
  <si>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</si>
  <si>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</si>
  <si>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</si>
  <si>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</si>
  <si>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</si>
  <si>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</si>
  <si>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</si>
  <si>
    <t>Charities Essentials : Converting charity to CLG - Duties of Directors</t>
  </si>
  <si>
    <t>Charity to CLG conversion</t>
  </si>
  <si>
    <t>Social Service Sector Roadmap, 9am-1pm, NCSS Ulu Pandan Community Building</t>
  </si>
  <si>
    <t>NCSS Roadmap refresh</t>
  </si>
  <si>
    <t>Hai Nam Sua temple - 171 year celebration</t>
  </si>
  <si>
    <t>海南山天公神壇</t>
  </si>
  <si>
    <t>Nine Emperor Gods Festival</t>
  </si>
  <si>
    <t>九皇爷诞</t>
  </si>
  <si>
    <t>SG Assist</t>
  </si>
  <si>
    <t>Visit to SG Assist, 4-5pm</t>
  </si>
  <si>
    <t>职员培训: 急救培训</t>
  </si>
  <si>
    <t>Staff training : First-Aid</t>
  </si>
  <si>
    <t>Staff Training - First-Aid. 职员培训: 急救培训</t>
  </si>
  <si>
    <t>Sponsor a HUG Campaign (official launch). (In charge: Chi Hwee, Jin Hoa)</t>
  </si>
  <si>
    <t>[Tentative] Wishing Tree</t>
  </si>
  <si>
    <t>Wishing Tree</t>
  </si>
  <si>
    <t>[Tentative] Sunrise Charity Walk 2028</t>
  </si>
  <si>
    <t>日出义走2028</t>
  </si>
  <si>
    <t>[Tentative] Charity Concert 2028</t>
  </si>
  <si>
    <t>[Tentative] Charity Golf 2028</t>
  </si>
  <si>
    <t>Charity Golf</t>
  </si>
  <si>
    <t>[Tentative] Sponsor a HUG Campaign</t>
  </si>
  <si>
    <t>Chong Pang Deepavali Dinner</t>
  </si>
  <si>
    <t>Chong Pang Deepavali Dinner, 6.30pm. GOH: Mr K Shanmugam</t>
  </si>
  <si>
    <t>Bretran.jpg</t>
  </si>
  <si>
    <t>Bretran Chia Chwee Peng</t>
  </si>
  <si>
    <t>谢沝玶</t>
  </si>
  <si>
    <t>Special Committee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</si>
</sst>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226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64"/>
  <sheetViews>
    <sheetView workbookViewId="0">
      <pane ySplit="1" topLeftCell="A72" activePane="bottomLeft" state="frozen"/>
      <selection activeCell="C1" sqref="C1"/>
      <selection pane="bottomLeft" activeCell="C97" sqref="C97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116</v>
      </c>
      <c r="C1" s="10" t="s">
        <v>31</v>
      </c>
      <c r="D1" s="10" t="s">
        <v>32</v>
      </c>
      <c r="E1" s="10" t="s">
        <v>131</v>
      </c>
      <c r="F1" s="24" t="s">
        <v>384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469</v>
      </c>
      <c r="D2" s="30" t="s">
        <v>470</v>
      </c>
      <c r="E2" s="34" t="s">
        <v>447</v>
      </c>
      <c r="F2" s="27" t="s">
        <v>477</v>
      </c>
    </row>
    <row r="3" spans="1:6" x14ac:dyDescent="0.35">
      <c r="A3" s="31">
        <f>DATE(2026,1,1)</f>
        <v>46023</v>
      </c>
      <c r="B3" s="32" t="str">
        <f t="shared" ref="B3:B88" si="0">TEXT($A3,"ddd")</f>
        <v>Thu</v>
      </c>
      <c r="C3" s="33" t="s">
        <v>132</v>
      </c>
      <c r="D3" s="33" t="s">
        <v>133</v>
      </c>
      <c r="E3" s="33" t="s">
        <v>121</v>
      </c>
      <c r="F3" s="25" t="s">
        <v>385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547</v>
      </c>
      <c r="D4" s="44" t="s">
        <v>548</v>
      </c>
      <c r="E4" s="25" t="s">
        <v>126</v>
      </c>
      <c r="F4" s="25" t="s">
        <v>544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117</v>
      </c>
      <c r="D5" s="37" t="s">
        <v>134</v>
      </c>
      <c r="E5" s="37" t="s">
        <v>118</v>
      </c>
      <c r="F5" s="25" t="s">
        <v>388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463</v>
      </c>
      <c r="D6" s="37" t="s">
        <v>464</v>
      </c>
      <c r="E6" s="39" t="s">
        <v>447</v>
      </c>
      <c r="F6" s="25" t="s">
        <v>478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465</v>
      </c>
      <c r="D7" s="11" t="s">
        <v>466</v>
      </c>
      <c r="E7" s="38" t="s">
        <v>447</v>
      </c>
      <c r="F7" s="25" t="s">
        <v>478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135</v>
      </c>
      <c r="D8" s="33" t="s">
        <v>136</v>
      </c>
      <c r="E8" s="33" t="s">
        <v>128</v>
      </c>
      <c r="F8" s="25" t="s">
        <v>389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119</v>
      </c>
      <c r="D9" s="11" t="s">
        <v>137</v>
      </c>
      <c r="E9" s="11" t="s">
        <v>118</v>
      </c>
      <c r="F9" s="25" t="s">
        <v>392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120</v>
      </c>
      <c r="D10" s="11" t="s">
        <v>138</v>
      </c>
      <c r="E10" s="11" t="s">
        <v>118</v>
      </c>
      <c r="F10" s="25" t="s">
        <v>393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122</v>
      </c>
      <c r="D11" s="37" t="s">
        <v>139</v>
      </c>
      <c r="E11" s="37" t="s">
        <v>121</v>
      </c>
      <c r="F11" s="25" t="s">
        <v>390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549</v>
      </c>
      <c r="D12" s="16" t="s">
        <v>551</v>
      </c>
      <c r="E12" s="38" t="s">
        <v>458</v>
      </c>
      <c r="F12" s="25" t="s">
        <v>479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550</v>
      </c>
      <c r="D13" s="44" t="s">
        <v>552</v>
      </c>
      <c r="E13" s="25" t="s">
        <v>126</v>
      </c>
      <c r="F13" s="25" t="s">
        <v>544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123</v>
      </c>
      <c r="D14" s="33" t="s">
        <v>140</v>
      </c>
      <c r="E14" s="33" t="s">
        <v>118</v>
      </c>
      <c r="F14" s="25" t="s">
        <v>396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124</v>
      </c>
      <c r="D15" s="11" t="s">
        <v>141</v>
      </c>
      <c r="E15" s="11" t="s">
        <v>118</v>
      </c>
      <c r="F15" s="25" t="s">
        <v>395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125</v>
      </c>
      <c r="D16" s="40" t="s">
        <v>208</v>
      </c>
      <c r="E16" s="37" t="s">
        <v>118</v>
      </c>
      <c r="F16" s="25" t="s">
        <v>391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459</v>
      </c>
      <c r="D17" s="11" t="s">
        <v>460</v>
      </c>
      <c r="E17" s="38" t="s">
        <v>447</v>
      </c>
      <c r="F17" s="25" t="s">
        <v>480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127</v>
      </c>
      <c r="D18" s="25" t="s">
        <v>227</v>
      </c>
      <c r="E18" s="25" t="s">
        <v>126</v>
      </c>
      <c r="F18" s="25" t="s">
        <v>400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454</v>
      </c>
      <c r="D19" s="11" t="s">
        <v>455</v>
      </c>
      <c r="E19" s="38" t="s">
        <v>447</v>
      </c>
      <c r="F19" s="25" t="s">
        <v>481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142</v>
      </c>
      <c r="D20" s="33" t="s">
        <v>143</v>
      </c>
      <c r="E20" s="33" t="s">
        <v>126</v>
      </c>
      <c r="F20" s="25" t="s">
        <v>398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144</v>
      </c>
      <c r="D21" s="16" t="s">
        <v>560</v>
      </c>
      <c r="E21" s="11" t="s">
        <v>128</v>
      </c>
      <c r="F21" s="25" t="s">
        <v>399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145</v>
      </c>
      <c r="D22" s="11" t="s">
        <v>228</v>
      </c>
      <c r="E22" s="11" t="s">
        <v>126</v>
      </c>
      <c r="F22" s="25" t="s">
        <v>401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129</v>
      </c>
      <c r="D23" s="37" t="s">
        <v>146</v>
      </c>
      <c r="E23" s="37" t="s">
        <v>118</v>
      </c>
      <c r="F23" s="25" t="s">
        <v>402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491</v>
      </c>
      <c r="D24" s="11" t="s">
        <v>492</v>
      </c>
      <c r="E24" s="38" t="s">
        <v>458</v>
      </c>
      <c r="F24" s="25" t="s">
        <v>482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147</v>
      </c>
      <c r="D25" s="33" t="s">
        <v>148</v>
      </c>
      <c r="E25" s="33" t="s">
        <v>215</v>
      </c>
      <c r="F25" s="25" t="s">
        <v>397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149</v>
      </c>
      <c r="D26" s="37" t="s">
        <v>150</v>
      </c>
      <c r="E26" s="37" t="s">
        <v>215</v>
      </c>
      <c r="F26" s="25" t="s">
        <v>397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452</v>
      </c>
      <c r="D27" s="37" t="s">
        <v>453</v>
      </c>
      <c r="E27" s="39" t="s">
        <v>447</v>
      </c>
      <c r="F27" s="25" t="s">
        <v>483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475</v>
      </c>
      <c r="D28" s="11" t="s">
        <v>476</v>
      </c>
      <c r="E28" s="38" t="s">
        <v>447</v>
      </c>
      <c r="F28" s="25" t="s">
        <v>484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151</v>
      </c>
      <c r="D29" s="33" t="s">
        <v>152</v>
      </c>
      <c r="E29" s="33" t="s">
        <v>215</v>
      </c>
      <c r="F29" s="25" t="s">
        <v>397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153</v>
      </c>
      <c r="D30" s="11" t="s">
        <v>154</v>
      </c>
      <c r="E30" s="11" t="s">
        <v>215</v>
      </c>
      <c r="F30" s="25" t="s">
        <v>397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125</v>
      </c>
      <c r="D31" s="16" t="s">
        <v>209</v>
      </c>
      <c r="E31" s="11" t="s">
        <v>118</v>
      </c>
      <c r="F31" s="25" t="s">
        <v>391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130</v>
      </c>
      <c r="D32" s="11" t="s">
        <v>155</v>
      </c>
      <c r="E32" s="11" t="s">
        <v>118</v>
      </c>
      <c r="F32" s="25" t="s">
        <v>386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125</v>
      </c>
      <c r="D33" s="16" t="s">
        <v>209</v>
      </c>
      <c r="E33" s="11" t="s">
        <v>118</v>
      </c>
      <c r="F33" s="25" t="s">
        <v>391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156</v>
      </c>
      <c r="D34" s="11" t="s">
        <v>157</v>
      </c>
      <c r="E34" s="11" t="s">
        <v>121</v>
      </c>
      <c r="F34" s="25" t="s">
        <v>403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543</v>
      </c>
      <c r="D35" s="25" t="s">
        <v>542</v>
      </c>
      <c r="E35" s="25" t="s">
        <v>126</v>
      </c>
      <c r="F35" s="25" t="s">
        <v>544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190</v>
      </c>
      <c r="D36" s="11" t="s">
        <v>191</v>
      </c>
      <c r="E36" s="11" t="s">
        <v>121</v>
      </c>
      <c r="F36" s="25" t="s">
        <v>404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125</v>
      </c>
      <c r="D37" s="16" t="s">
        <v>210</v>
      </c>
      <c r="E37" s="11" t="s">
        <v>118</v>
      </c>
      <c r="F37" s="25" t="s">
        <v>391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125</v>
      </c>
      <c r="D38" s="16" t="s">
        <v>210</v>
      </c>
      <c r="E38" s="11" t="s">
        <v>118</v>
      </c>
      <c r="F38" s="25" t="s">
        <v>391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206</v>
      </c>
      <c r="D39" s="11" t="s">
        <v>207</v>
      </c>
      <c r="E39" s="11" t="s">
        <v>121</v>
      </c>
      <c r="F39" s="25" t="s">
        <v>405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213</v>
      </c>
      <c r="D40" s="16" t="s">
        <v>212</v>
      </c>
      <c r="E40" s="11" t="s">
        <v>118</v>
      </c>
      <c r="F40" s="25" t="s">
        <v>394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219</v>
      </c>
      <c r="D41" s="40" t="s">
        <v>205</v>
      </c>
      <c r="E41" s="37" t="s">
        <v>215</v>
      </c>
      <c r="F41" s="25" t="s">
        <v>387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450</v>
      </c>
      <c r="D42" s="37" t="s">
        <v>451</v>
      </c>
      <c r="E42" s="39" t="s">
        <v>447</v>
      </c>
      <c r="F42" s="25" t="s">
        <v>485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473</v>
      </c>
      <c r="D43" s="11" t="s">
        <v>474</v>
      </c>
      <c r="E43" s="38" t="s">
        <v>447</v>
      </c>
      <c r="F43" s="25" t="s">
        <v>486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501</v>
      </c>
      <c r="D44" s="43" t="s">
        <v>502</v>
      </c>
      <c r="E44" s="33" t="s">
        <v>215</v>
      </c>
      <c r="F44" s="25" t="s">
        <v>406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220</v>
      </c>
      <c r="D45" s="16" t="s">
        <v>429</v>
      </c>
      <c r="E45" s="11" t="s">
        <v>223</v>
      </c>
      <c r="F45" s="25" t="s">
        <v>408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431</v>
      </c>
      <c r="D46" s="16" t="s">
        <v>433</v>
      </c>
      <c r="E46" s="11" t="s">
        <v>126</v>
      </c>
      <c r="F46" s="25" t="s">
        <v>432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493</v>
      </c>
      <c r="D47" s="11" t="s">
        <v>494</v>
      </c>
      <c r="E47" s="11" t="s">
        <v>215</v>
      </c>
      <c r="F47" s="25" t="s">
        <v>407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439</v>
      </c>
      <c r="D48" s="11" t="s">
        <v>158</v>
      </c>
      <c r="E48" s="11" t="s">
        <v>121</v>
      </c>
      <c r="F48" s="25" t="s">
        <v>409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440</v>
      </c>
      <c r="D49" s="11" t="s">
        <v>430</v>
      </c>
      <c r="E49" s="11" t="s">
        <v>223</v>
      </c>
      <c r="F49" s="25" t="s">
        <v>391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437</v>
      </c>
      <c r="D50" s="11" t="s">
        <v>438</v>
      </c>
      <c r="E50" s="11" t="s">
        <v>215</v>
      </c>
      <c r="F50" s="25" t="s">
        <v>410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231</v>
      </c>
      <c r="D51" s="21" t="s">
        <v>232</v>
      </c>
      <c r="E51" s="11" t="s">
        <v>215</v>
      </c>
      <c r="F51" s="25" t="s">
        <v>411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529</v>
      </c>
      <c r="D52" s="21"/>
      <c r="E52" s="11" t="s">
        <v>223</v>
      </c>
      <c r="F52" s="25" t="s">
        <v>528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503</v>
      </c>
      <c r="D53" s="16" t="s">
        <v>504</v>
      </c>
      <c r="E53" s="11" t="s">
        <v>215</v>
      </c>
      <c r="F53" s="25" t="s">
        <v>412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221</v>
      </c>
      <c r="D54" s="11" t="s">
        <v>204</v>
      </c>
      <c r="E54" s="11" t="s">
        <v>215</v>
      </c>
      <c r="F54" s="25" t="s">
        <v>413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505</v>
      </c>
      <c r="D55" s="16" t="s">
        <v>506</v>
      </c>
      <c r="E55" s="11" t="s">
        <v>215</v>
      </c>
      <c r="F55" s="25" t="s">
        <v>414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444</v>
      </c>
      <c r="D56" s="11" t="s">
        <v>443</v>
      </c>
      <c r="E56" s="11" t="s">
        <v>215</v>
      </c>
      <c r="F56" s="25" t="s">
        <v>414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508</v>
      </c>
      <c r="D57" s="11"/>
      <c r="E57" s="11" t="s">
        <v>223</v>
      </c>
      <c r="F57" s="25" t="s">
        <v>507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535</v>
      </c>
      <c r="D58" s="11" t="s">
        <v>159</v>
      </c>
      <c r="E58" s="11" t="s">
        <v>121</v>
      </c>
      <c r="F58" s="25" t="s">
        <v>415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517</v>
      </c>
      <c r="D59" s="11"/>
      <c r="E59" s="11" t="s">
        <v>223</v>
      </c>
      <c r="F59" s="25" t="s">
        <v>516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538</v>
      </c>
      <c r="D60" s="16" t="s">
        <v>539</v>
      </c>
      <c r="E60" s="11" t="s">
        <v>215</v>
      </c>
      <c r="F60" s="25" t="s">
        <v>416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442</v>
      </c>
      <c r="D61" s="16" t="s">
        <v>211</v>
      </c>
      <c r="E61" s="11" t="s">
        <v>215</v>
      </c>
      <c r="F61" s="25" t="s">
        <v>510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518</v>
      </c>
      <c r="D62" s="16"/>
      <c r="E62" s="11" t="s">
        <v>223</v>
      </c>
      <c r="F62" s="25" t="s">
        <v>519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536</v>
      </c>
      <c r="D63" s="16" t="s">
        <v>537</v>
      </c>
      <c r="E63" s="11" t="s">
        <v>215</v>
      </c>
      <c r="F63" s="25" t="s">
        <v>417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527</v>
      </c>
      <c r="D64" s="16"/>
      <c r="E64" s="11" t="s">
        <v>126</v>
      </c>
      <c r="F64" s="25" t="s">
        <v>497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213</v>
      </c>
      <c r="D65" s="16" t="s">
        <v>212</v>
      </c>
      <c r="E65" s="11" t="s">
        <v>118</v>
      </c>
      <c r="F65" s="25" t="s">
        <v>394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530</v>
      </c>
      <c r="D66" s="16"/>
      <c r="E66" s="11" t="s">
        <v>126</v>
      </c>
      <c r="F66" s="25" t="s">
        <v>531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520</v>
      </c>
      <c r="D67" s="11"/>
      <c r="E67" s="11" t="s">
        <v>128</v>
      </c>
      <c r="F67" s="25" t="s">
        <v>509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222</v>
      </c>
      <c r="D68" s="11"/>
      <c r="E68" s="11" t="s">
        <v>223</v>
      </c>
      <c r="F68" s="25" t="s">
        <v>418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495</v>
      </c>
      <c r="D69" s="11"/>
      <c r="E69" s="11" t="s">
        <v>128</v>
      </c>
      <c r="F69" s="25" t="s">
        <v>496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498</v>
      </c>
      <c r="D70" s="11" t="s">
        <v>500</v>
      </c>
      <c r="E70" s="11" t="s">
        <v>118</v>
      </c>
      <c r="F70" s="25" t="s">
        <v>499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512</v>
      </c>
      <c r="D71" s="11" t="s">
        <v>511</v>
      </c>
      <c r="E71" s="11" t="s">
        <v>126</v>
      </c>
      <c r="F71" s="25" t="s">
        <v>513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521</v>
      </c>
      <c r="D72" s="11" t="s">
        <v>160</v>
      </c>
      <c r="E72" s="11" t="s">
        <v>121</v>
      </c>
      <c r="F72" s="25" t="s">
        <v>522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532</v>
      </c>
      <c r="D73" s="11"/>
      <c r="E73" s="11" t="s">
        <v>126</v>
      </c>
      <c r="F73" s="25" t="s">
        <v>523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533</v>
      </c>
      <c r="D74" s="11"/>
      <c r="E74" s="11" t="s">
        <v>126</v>
      </c>
      <c r="F74" s="25" t="s">
        <v>534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559</v>
      </c>
      <c r="D75" s="11"/>
      <c r="E75" s="11" t="s">
        <v>540</v>
      </c>
      <c r="F75" s="25" t="s">
        <v>541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225</v>
      </c>
      <c r="D76" s="11" t="s">
        <v>224</v>
      </c>
      <c r="E76" s="11" t="s">
        <v>223</v>
      </c>
      <c r="F76" s="25" t="s">
        <v>420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441</v>
      </c>
      <c r="D77" s="11" t="s">
        <v>234</v>
      </c>
      <c r="E77" s="11" t="s">
        <v>128</v>
      </c>
      <c r="F77" s="25" t="s">
        <v>421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525</v>
      </c>
      <c r="D78" s="11"/>
      <c r="E78" s="11" t="s">
        <v>126</v>
      </c>
      <c r="F78" s="25" t="s">
        <v>524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553</v>
      </c>
      <c r="D79" s="37"/>
      <c r="E79" s="37" t="s">
        <v>223</v>
      </c>
      <c r="F79" s="25" t="s">
        <v>526</v>
      </c>
    </row>
    <row r="80" spans="1:6" x14ac:dyDescent="0.35">
      <c r="A80" s="12">
        <f>DATE(2026,10,16)</f>
        <v>46311</v>
      </c>
      <c r="B80" s="13" t="str">
        <f>TEXT($A80,"ddd")</f>
        <v>Fri</v>
      </c>
      <c r="C80" s="40" t="s">
        <v>592</v>
      </c>
      <c r="D80" s="37"/>
      <c r="E80" s="37" t="s">
        <v>223</v>
      </c>
      <c r="F80" s="44" t="s">
        <v>593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572</v>
      </c>
      <c r="D81" s="16" t="s">
        <v>575</v>
      </c>
      <c r="E81" s="11" t="s">
        <v>215</v>
      </c>
      <c r="F81" s="25" t="s">
        <v>422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545</v>
      </c>
      <c r="D82" s="25" t="s">
        <v>546</v>
      </c>
      <c r="E82" s="25" t="s">
        <v>126</v>
      </c>
      <c r="F82" s="25" t="s">
        <v>544</v>
      </c>
    </row>
    <row r="83" spans="1:6" x14ac:dyDescent="0.35">
      <c r="A83" s="12">
        <f>DATE(2026,10,21)</f>
        <v>46316</v>
      </c>
      <c r="B83" s="13" t="str">
        <f>TEXT($A83,"ddd")</f>
        <v>Wed</v>
      </c>
      <c r="C83" s="40" t="s">
        <v>594</v>
      </c>
      <c r="D83" s="37"/>
      <c r="E83" s="37" t="s">
        <v>223</v>
      </c>
      <c r="F83" s="44" t="s">
        <v>595</v>
      </c>
    </row>
    <row r="84" spans="1:6" x14ac:dyDescent="0.35">
      <c r="A84" s="12">
        <f>DATE(2026,10,23)</f>
        <v>46318</v>
      </c>
      <c r="B84" s="13" t="str">
        <f t="shared" si="0"/>
        <v>Fri</v>
      </c>
      <c r="C84" s="16" t="s">
        <v>573</v>
      </c>
      <c r="D84" s="16" t="s">
        <v>576</v>
      </c>
      <c r="E84" s="11" t="s">
        <v>215</v>
      </c>
      <c r="F84" s="25" t="s">
        <v>422</v>
      </c>
    </row>
    <row r="85" spans="1:6" x14ac:dyDescent="0.35">
      <c r="A85" s="12">
        <f>DATE(2026,10,24)</f>
        <v>46319</v>
      </c>
      <c r="B85" s="13" t="str">
        <f t="shared" si="0"/>
        <v>Sat</v>
      </c>
      <c r="C85" s="16" t="s">
        <v>574</v>
      </c>
      <c r="D85" s="16" t="s">
        <v>577</v>
      </c>
      <c r="E85" s="11" t="s">
        <v>215</v>
      </c>
      <c r="F85" s="25" t="s">
        <v>422</v>
      </c>
    </row>
    <row r="86" spans="1:6" x14ac:dyDescent="0.35">
      <c r="A86" s="12">
        <f>DATE(2026,10,26)</f>
        <v>46321</v>
      </c>
      <c r="B86" s="42" t="str">
        <f t="shared" si="0"/>
        <v>Mon</v>
      </c>
      <c r="C86" s="25" t="s">
        <v>555</v>
      </c>
      <c r="D86" s="25" t="s">
        <v>554</v>
      </c>
      <c r="E86" s="25" t="s">
        <v>121</v>
      </c>
      <c r="F86" s="25" t="s">
        <v>556</v>
      </c>
    </row>
    <row r="87" spans="1:6" x14ac:dyDescent="0.35">
      <c r="A87" s="12">
        <f>DATE(2026,10,27)</f>
        <v>46322</v>
      </c>
      <c r="B87" s="42" t="str">
        <f t="shared" si="0"/>
        <v>Tue</v>
      </c>
      <c r="C87" s="25" t="s">
        <v>557</v>
      </c>
      <c r="D87" s="25"/>
      <c r="E87" s="25" t="s">
        <v>121</v>
      </c>
      <c r="F87" s="25" t="s">
        <v>558</v>
      </c>
    </row>
    <row r="88" spans="1:6" x14ac:dyDescent="0.35">
      <c r="A88" s="12">
        <f>DATE(2026,10,28)</f>
        <v>46323</v>
      </c>
      <c r="B88" s="42" t="str">
        <f t="shared" si="0"/>
        <v>Wed</v>
      </c>
      <c r="C88" s="44" t="s">
        <v>596</v>
      </c>
      <c r="D88" s="44" t="s">
        <v>597</v>
      </c>
      <c r="E88" s="44" t="s">
        <v>215</v>
      </c>
      <c r="F88" s="44" t="s">
        <v>597</v>
      </c>
    </row>
    <row r="89" spans="1:6" x14ac:dyDescent="0.35">
      <c r="A89" s="35">
        <f>DATE(2026,11,3)</f>
        <v>46329</v>
      </c>
      <c r="B89" s="36" t="str">
        <f t="shared" ref="B89:B148" si="2">TEXT($A89,"ddd")</f>
        <v>Tue</v>
      </c>
      <c r="C89" s="40" t="s">
        <v>571</v>
      </c>
      <c r="D89" s="40" t="s">
        <v>570</v>
      </c>
      <c r="E89" s="37" t="s">
        <v>118</v>
      </c>
      <c r="F89" s="25" t="s">
        <v>424</v>
      </c>
    </row>
    <row r="90" spans="1:6" x14ac:dyDescent="0.35">
      <c r="A90" s="35">
        <f>DATE(2026,11,3)</f>
        <v>46329</v>
      </c>
      <c r="B90" s="36" t="str">
        <f t="shared" si="2"/>
        <v>Tue</v>
      </c>
      <c r="C90" s="40" t="s">
        <v>588</v>
      </c>
      <c r="D90" s="40" t="s">
        <v>589</v>
      </c>
      <c r="E90" s="37" t="s">
        <v>118</v>
      </c>
      <c r="F90" s="44" t="s">
        <v>590</v>
      </c>
    </row>
    <row r="91" spans="1:6" x14ac:dyDescent="0.35">
      <c r="A91" s="35">
        <f>DATE(2026,11,4)</f>
        <v>46330</v>
      </c>
      <c r="B91" s="36" t="str">
        <f t="shared" si="2"/>
        <v>Wed</v>
      </c>
      <c r="C91" s="40" t="s">
        <v>603</v>
      </c>
      <c r="D91" s="40" t="s">
        <v>602</v>
      </c>
      <c r="E91" s="40" t="s">
        <v>126</v>
      </c>
      <c r="F91" s="44" t="s">
        <v>604</v>
      </c>
    </row>
    <row r="92" spans="1:6" x14ac:dyDescent="0.35">
      <c r="A92" s="35">
        <f>DATE(2026,11,4)</f>
        <v>46330</v>
      </c>
      <c r="B92" s="36" t="str">
        <f t="shared" si="2"/>
        <v>Wed</v>
      </c>
      <c r="C92" s="40" t="s">
        <v>601</v>
      </c>
      <c r="D92" s="40"/>
      <c r="E92" s="37" t="s">
        <v>223</v>
      </c>
      <c r="F92" s="44" t="s">
        <v>600</v>
      </c>
    </row>
    <row r="93" spans="1:6" x14ac:dyDescent="0.35">
      <c r="A93" s="35">
        <f>DATE(2026,11,7)</f>
        <v>46333</v>
      </c>
      <c r="B93" s="36" t="str">
        <f t="shared" si="2"/>
        <v>Sat</v>
      </c>
      <c r="C93" s="40" t="s">
        <v>591</v>
      </c>
      <c r="D93" s="40" t="s">
        <v>589</v>
      </c>
      <c r="E93" s="37" t="s">
        <v>118</v>
      </c>
      <c r="F93" s="44" t="s">
        <v>590</v>
      </c>
    </row>
    <row r="94" spans="1:6" x14ac:dyDescent="0.35">
      <c r="A94" s="35">
        <f>DATE(2026,11,8)</f>
        <v>46334</v>
      </c>
      <c r="B94" s="36" t="str">
        <f>TEXT($A94,"ddd")</f>
        <v>Sun</v>
      </c>
      <c r="C94" s="37" t="s">
        <v>448</v>
      </c>
      <c r="D94" s="37" t="s">
        <v>449</v>
      </c>
      <c r="E94" s="39" t="s">
        <v>447</v>
      </c>
      <c r="F94" s="25" t="s">
        <v>487</v>
      </c>
    </row>
    <row r="95" spans="1:6" x14ac:dyDescent="0.35">
      <c r="A95" s="12">
        <f>DATE(2026,11,9)</f>
        <v>46335</v>
      </c>
      <c r="B95" s="13" t="str">
        <f>TEXT($A95,"ddd")</f>
        <v>Mon</v>
      </c>
      <c r="C95" s="11" t="s">
        <v>471</v>
      </c>
      <c r="D95" s="11" t="s">
        <v>472</v>
      </c>
      <c r="E95" s="38" t="s">
        <v>447</v>
      </c>
      <c r="F95" s="25" t="s">
        <v>488</v>
      </c>
    </row>
    <row r="96" spans="1:6" x14ac:dyDescent="0.35">
      <c r="A96" s="12">
        <f>DATE(2026,11,13)</f>
        <v>46339</v>
      </c>
      <c r="B96" s="13" t="str">
        <f>TEXT($A96,"ddd")</f>
        <v>Fri</v>
      </c>
      <c r="C96" s="16" t="s">
        <v>615</v>
      </c>
      <c r="D96" s="16"/>
      <c r="E96" s="46" t="s">
        <v>223</v>
      </c>
      <c r="F96" s="44" t="s">
        <v>614</v>
      </c>
    </row>
    <row r="97" spans="1:6" x14ac:dyDescent="0.35">
      <c r="A97" s="12">
        <f>DATE(2026,11,19)</f>
        <v>46345</v>
      </c>
      <c r="B97" s="13" t="str">
        <f>TEXT($A97,"ddd")</f>
        <v>Thu</v>
      </c>
      <c r="C97" s="16" t="s">
        <v>584</v>
      </c>
      <c r="D97" s="16" t="s">
        <v>583</v>
      </c>
      <c r="E97" s="46" t="s">
        <v>126</v>
      </c>
      <c r="F97" s="44" t="s">
        <v>585</v>
      </c>
    </row>
    <row r="98" spans="1:6" x14ac:dyDescent="0.35">
      <c r="A98" s="12">
        <f>DATE(2026,11,25)</f>
        <v>46351</v>
      </c>
      <c r="B98" s="13" t="str">
        <f>TEXT($A98,"ddd")</f>
        <v>Wed</v>
      </c>
      <c r="C98" s="16" t="s">
        <v>581</v>
      </c>
      <c r="D98" s="16" t="s">
        <v>582</v>
      </c>
      <c r="E98" s="11" t="s">
        <v>118</v>
      </c>
      <c r="F98" s="25" t="s">
        <v>394</v>
      </c>
    </row>
    <row r="99" spans="1:6" x14ac:dyDescent="0.35">
      <c r="A99" s="31">
        <f>DATE(2026,11,28)</f>
        <v>46354</v>
      </c>
      <c r="B99" s="32" t="str">
        <f t="shared" si="2"/>
        <v>Sat</v>
      </c>
      <c r="C99" s="43" t="s">
        <v>569</v>
      </c>
      <c r="D99" s="33"/>
      <c r="E99" s="33" t="s">
        <v>121</v>
      </c>
      <c r="F99" s="25" t="s">
        <v>425</v>
      </c>
    </row>
    <row r="100" spans="1:6" x14ac:dyDescent="0.35">
      <c r="A100" s="35">
        <f>DATE(2026,12,7)</f>
        <v>46363</v>
      </c>
      <c r="B100" s="36" t="str">
        <f t="shared" si="2"/>
        <v>Mon</v>
      </c>
      <c r="C100" s="40" t="s">
        <v>565</v>
      </c>
      <c r="D100" s="40" t="s">
        <v>566</v>
      </c>
      <c r="E100" s="40" t="s">
        <v>215</v>
      </c>
      <c r="F100" s="40" t="s">
        <v>564</v>
      </c>
    </row>
    <row r="101" spans="1:6" x14ac:dyDescent="0.35">
      <c r="A101" s="35">
        <f>DATE(2026,12,7)</f>
        <v>46363</v>
      </c>
      <c r="B101" s="36" t="str">
        <f t="shared" si="2"/>
        <v>Mon</v>
      </c>
      <c r="C101" s="40" t="s">
        <v>567</v>
      </c>
      <c r="D101" s="40"/>
      <c r="E101" s="40" t="s">
        <v>118</v>
      </c>
      <c r="F101" s="40" t="s">
        <v>568</v>
      </c>
    </row>
    <row r="102" spans="1:6" x14ac:dyDescent="0.35">
      <c r="A102" s="35">
        <f>DATE(2026,12,11)</f>
        <v>46367</v>
      </c>
      <c r="B102" s="36" t="str">
        <f t="shared" si="2"/>
        <v>Fri</v>
      </c>
      <c r="C102" s="40" t="s">
        <v>561</v>
      </c>
      <c r="D102" s="40" t="s">
        <v>562</v>
      </c>
      <c r="E102" s="40" t="s">
        <v>215</v>
      </c>
      <c r="F102" s="44" t="s">
        <v>563</v>
      </c>
    </row>
    <row r="103" spans="1:6" x14ac:dyDescent="0.35">
      <c r="A103" s="35">
        <f>DATE(2026,12,25)</f>
        <v>46381</v>
      </c>
      <c r="B103" s="36" t="str">
        <f>TEXT($A103,"ddd")</f>
        <v>Fri</v>
      </c>
      <c r="C103" s="40" t="s">
        <v>606</v>
      </c>
      <c r="D103" s="37"/>
      <c r="E103" s="33" t="s">
        <v>128</v>
      </c>
      <c r="F103" s="44" t="s">
        <v>607</v>
      </c>
    </row>
    <row r="104" spans="1:6" x14ac:dyDescent="0.35">
      <c r="A104" s="35">
        <f>DATE(2026,12,25)</f>
        <v>46381</v>
      </c>
      <c r="B104" s="36" t="str">
        <f>TEXT($A104,"ddd")</f>
        <v>Fri</v>
      </c>
      <c r="C104" s="37" t="s">
        <v>445</v>
      </c>
      <c r="D104" s="37" t="s">
        <v>446</v>
      </c>
      <c r="E104" s="39" t="s">
        <v>447</v>
      </c>
      <c r="F104" s="25" t="s">
        <v>489</v>
      </c>
    </row>
    <row r="105" spans="1:6" x14ac:dyDescent="0.35">
      <c r="A105" s="12">
        <f>DATE(2027,1,1)</f>
        <v>46388</v>
      </c>
      <c r="B105" s="13" t="str">
        <f>TEXT($A105,"ddd")</f>
        <v>Fri</v>
      </c>
      <c r="C105" s="11" t="s">
        <v>469</v>
      </c>
      <c r="D105" s="11" t="s">
        <v>470</v>
      </c>
      <c r="E105" s="38" t="s">
        <v>447</v>
      </c>
      <c r="F105" s="25" t="s">
        <v>477</v>
      </c>
    </row>
    <row r="106" spans="1:6" x14ac:dyDescent="0.35">
      <c r="A106" s="31">
        <f>DATE(2027,1,1)</f>
        <v>46388</v>
      </c>
      <c r="B106" s="32" t="str">
        <f t="shared" si="2"/>
        <v>Fri</v>
      </c>
      <c r="C106" s="43" t="s">
        <v>214</v>
      </c>
      <c r="D106" s="33" t="s">
        <v>193</v>
      </c>
      <c r="E106" s="33" t="s">
        <v>128</v>
      </c>
      <c r="F106" s="25" t="s">
        <v>385</v>
      </c>
    </row>
    <row r="107" spans="1:6" x14ac:dyDescent="0.35">
      <c r="A107" s="35">
        <f>DATE(2027,1,15)</f>
        <v>46402</v>
      </c>
      <c r="B107" s="36" t="str">
        <f t="shared" si="2"/>
        <v>Fri</v>
      </c>
      <c r="C107" s="40" t="s">
        <v>586</v>
      </c>
      <c r="D107" s="40" t="s">
        <v>587</v>
      </c>
      <c r="E107" s="37" t="s">
        <v>118</v>
      </c>
      <c r="F107" s="25"/>
    </row>
    <row r="108" spans="1:6" x14ac:dyDescent="0.35">
      <c r="A108" s="35">
        <f>DATE(2027,1,30)</f>
        <v>46417</v>
      </c>
      <c r="B108" s="36" t="str">
        <f t="shared" si="2"/>
        <v>Sat</v>
      </c>
      <c r="C108" s="37" t="s">
        <v>163</v>
      </c>
      <c r="D108" s="37" t="s">
        <v>194</v>
      </c>
      <c r="E108" s="37" t="s">
        <v>118</v>
      </c>
      <c r="F108" s="25" t="s">
        <v>388</v>
      </c>
    </row>
    <row r="109" spans="1:6" x14ac:dyDescent="0.35">
      <c r="A109" s="35">
        <f>DATE(2027,2,6)</f>
        <v>46424</v>
      </c>
      <c r="B109" s="36" t="str">
        <f>TEXT($A109,"ddd")</f>
        <v>Sat</v>
      </c>
      <c r="C109" s="37" t="s">
        <v>463</v>
      </c>
      <c r="D109" s="37" t="s">
        <v>464</v>
      </c>
      <c r="E109" s="39" t="s">
        <v>447</v>
      </c>
      <c r="F109" s="25" t="s">
        <v>478</v>
      </c>
    </row>
    <row r="110" spans="1:6" x14ac:dyDescent="0.35">
      <c r="A110" s="35">
        <f>DATE(2027,2,7)</f>
        <v>46425</v>
      </c>
      <c r="B110" s="36" t="str">
        <f>TEXT($A110,"ddd")</f>
        <v>Sun</v>
      </c>
      <c r="C110" s="37" t="s">
        <v>465</v>
      </c>
      <c r="D110" s="37" t="s">
        <v>466</v>
      </c>
      <c r="E110" s="39" t="s">
        <v>447</v>
      </c>
      <c r="F110" s="25" t="s">
        <v>478</v>
      </c>
    </row>
    <row r="111" spans="1:6" x14ac:dyDescent="0.35">
      <c r="A111" s="12">
        <f>DATE(2027,2,8)</f>
        <v>46426</v>
      </c>
      <c r="B111" s="13" t="str">
        <f>TEXT($A111,"ddd")</f>
        <v>Mon</v>
      </c>
      <c r="C111" s="11" t="s">
        <v>467</v>
      </c>
      <c r="D111" s="11" t="s">
        <v>468</v>
      </c>
      <c r="E111" s="38" t="s">
        <v>447</v>
      </c>
      <c r="F111" s="25" t="s">
        <v>490</v>
      </c>
    </row>
    <row r="112" spans="1:6" x14ac:dyDescent="0.35">
      <c r="A112" s="41">
        <f>DATE(2027,2,18)</f>
        <v>46436</v>
      </c>
      <c r="B112" s="42" t="str">
        <f t="shared" si="2"/>
        <v>Thu</v>
      </c>
      <c r="C112" s="25" t="s">
        <v>217</v>
      </c>
      <c r="D112" s="25" t="s">
        <v>218</v>
      </c>
      <c r="E112" s="25" t="s">
        <v>216</v>
      </c>
      <c r="F112" s="26" t="s">
        <v>389</v>
      </c>
    </row>
    <row r="113" spans="1:6" x14ac:dyDescent="0.35">
      <c r="A113" s="12">
        <f>DATE(2027,3,6)</f>
        <v>46452</v>
      </c>
      <c r="B113" s="13" t="str">
        <f>TEXT($A113,"ddd")</f>
        <v>Sat</v>
      </c>
      <c r="C113" s="11" t="s">
        <v>514</v>
      </c>
      <c r="D113" s="11" t="s">
        <v>515</v>
      </c>
      <c r="E113" s="11" t="s">
        <v>121</v>
      </c>
      <c r="F113" s="25" t="s">
        <v>419</v>
      </c>
    </row>
    <row r="114" spans="1:6" x14ac:dyDescent="0.35">
      <c r="A114" s="12">
        <f>DATE(2027,3,10)</f>
        <v>46456</v>
      </c>
      <c r="B114" s="13" t="str">
        <f>TEXT($A114,"ddd")</f>
        <v>Wed</v>
      </c>
      <c r="C114" s="11" t="s">
        <v>461</v>
      </c>
      <c r="D114" s="11" t="s">
        <v>462</v>
      </c>
      <c r="E114" s="38" t="s">
        <v>458</v>
      </c>
      <c r="F114" s="25" t="s">
        <v>479</v>
      </c>
    </row>
    <row r="115" spans="1:6" x14ac:dyDescent="0.35">
      <c r="A115" s="31">
        <f>DATE(2027,3,19)</f>
        <v>46465</v>
      </c>
      <c r="B115" s="32" t="str">
        <f t="shared" si="2"/>
        <v>Fri</v>
      </c>
      <c r="C115" s="33" t="s">
        <v>164</v>
      </c>
      <c r="D115" s="33" t="s">
        <v>195</v>
      </c>
      <c r="E115" s="33" t="s">
        <v>121</v>
      </c>
      <c r="F115" s="26" t="s">
        <v>423</v>
      </c>
    </row>
    <row r="116" spans="1:6" x14ac:dyDescent="0.35">
      <c r="A116" s="35">
        <f>DATE(2027,3,25)</f>
        <v>46471</v>
      </c>
      <c r="B116" s="36" t="str">
        <f t="shared" si="2"/>
        <v>Thu</v>
      </c>
      <c r="C116" s="37" t="s">
        <v>165</v>
      </c>
      <c r="D116" s="37" t="s">
        <v>196</v>
      </c>
      <c r="E116" s="37" t="s">
        <v>118</v>
      </c>
      <c r="F116" s="26" t="s">
        <v>396</v>
      </c>
    </row>
    <row r="117" spans="1:6" x14ac:dyDescent="0.35">
      <c r="A117" s="12">
        <f>DATE(2027,3,26)</f>
        <v>46472</v>
      </c>
      <c r="B117" s="13" t="str">
        <f>TEXT($A117,"ddd")</f>
        <v>Fri</v>
      </c>
      <c r="C117" s="11" t="s">
        <v>459</v>
      </c>
      <c r="D117" s="11" t="s">
        <v>460</v>
      </c>
      <c r="E117" s="38" t="s">
        <v>447</v>
      </c>
      <c r="F117" s="25" t="s">
        <v>480</v>
      </c>
    </row>
    <row r="118" spans="1:6" x14ac:dyDescent="0.35">
      <c r="A118" s="31">
        <f>DATE(2027,4,17)</f>
        <v>46494</v>
      </c>
      <c r="B118" s="36" t="str">
        <f>TEXT($A118,"ddd")</f>
        <v>Sat</v>
      </c>
      <c r="C118" s="40" t="s">
        <v>605</v>
      </c>
      <c r="D118" s="40"/>
      <c r="E118" s="37" t="s">
        <v>128</v>
      </c>
      <c r="F118" s="25" t="s">
        <v>426</v>
      </c>
    </row>
    <row r="119" spans="1:6" x14ac:dyDescent="0.35">
      <c r="A119" s="31">
        <f>DATE(2027,4,17)</f>
        <v>46494</v>
      </c>
      <c r="B119" s="32" t="str">
        <f>TEXT($A119,"ddd")</f>
        <v>Sat</v>
      </c>
      <c r="C119" s="43" t="s">
        <v>578</v>
      </c>
      <c r="D119" s="43" t="s">
        <v>579</v>
      </c>
      <c r="E119" s="43" t="s">
        <v>128</v>
      </c>
      <c r="F119" s="45" t="s">
        <v>580</v>
      </c>
    </row>
    <row r="120" spans="1:6" x14ac:dyDescent="0.35">
      <c r="A120" s="35">
        <f>DATE(2027,5,1)</f>
        <v>46508</v>
      </c>
      <c r="B120" s="36" t="str">
        <f>TEXT($A120,"ddd")</f>
        <v>Sat</v>
      </c>
      <c r="C120" s="37" t="s">
        <v>454</v>
      </c>
      <c r="D120" s="37" t="s">
        <v>455</v>
      </c>
      <c r="E120" s="39" t="s">
        <v>447</v>
      </c>
      <c r="F120" s="25" t="s">
        <v>481</v>
      </c>
    </row>
    <row r="121" spans="1:6" x14ac:dyDescent="0.35">
      <c r="A121" s="12">
        <f>DATE(2027,5,17)</f>
        <v>46524</v>
      </c>
      <c r="B121" s="13" t="str">
        <f>TEXT($A121,"ddd")</f>
        <v>Mon</v>
      </c>
      <c r="C121" s="11" t="s">
        <v>456</v>
      </c>
      <c r="D121" s="11" t="s">
        <v>457</v>
      </c>
      <c r="E121" s="38" t="s">
        <v>458</v>
      </c>
      <c r="F121" s="25" t="s">
        <v>482</v>
      </c>
    </row>
    <row r="122" spans="1:6" x14ac:dyDescent="0.35">
      <c r="A122" s="41">
        <f>DATE(2027,5,19)</f>
        <v>46526</v>
      </c>
      <c r="B122" s="42" t="str">
        <f t="shared" si="2"/>
        <v>Wed</v>
      </c>
      <c r="C122" s="25" t="s">
        <v>166</v>
      </c>
      <c r="D122" s="25" t="s">
        <v>197</v>
      </c>
      <c r="E122" s="25" t="s">
        <v>215</v>
      </c>
      <c r="F122" s="26" t="s">
        <v>397</v>
      </c>
    </row>
    <row r="123" spans="1:6" x14ac:dyDescent="0.35">
      <c r="A123" s="12">
        <f>DATE(2027,5,20)</f>
        <v>46527</v>
      </c>
      <c r="B123" s="13" t="str">
        <f>TEXT($A123,"ddd")</f>
        <v>Thu</v>
      </c>
      <c r="C123" s="11" t="s">
        <v>452</v>
      </c>
      <c r="D123" s="11" t="s">
        <v>453</v>
      </c>
      <c r="E123" s="38" t="s">
        <v>447</v>
      </c>
      <c r="F123" s="25" t="s">
        <v>483</v>
      </c>
    </row>
    <row r="124" spans="1:6" x14ac:dyDescent="0.35">
      <c r="A124" s="31">
        <f>DATE(2027,5,20)</f>
        <v>46527</v>
      </c>
      <c r="B124" s="32" t="str">
        <f t="shared" si="2"/>
        <v>Thu</v>
      </c>
      <c r="C124" s="33" t="s">
        <v>167</v>
      </c>
      <c r="D124" s="33" t="s">
        <v>198</v>
      </c>
      <c r="E124" s="33" t="s">
        <v>215</v>
      </c>
      <c r="F124" s="26" t="s">
        <v>397</v>
      </c>
    </row>
    <row r="125" spans="1:6" x14ac:dyDescent="0.35">
      <c r="A125" s="12">
        <f>DATE(2027,5,21)</f>
        <v>46528</v>
      </c>
      <c r="B125" s="13" t="str">
        <f t="shared" si="2"/>
        <v>Fri</v>
      </c>
      <c r="C125" s="11" t="s">
        <v>168</v>
      </c>
      <c r="D125" s="11" t="s">
        <v>199</v>
      </c>
      <c r="E125" s="11" t="s">
        <v>215</v>
      </c>
      <c r="F125" s="26" t="s">
        <v>397</v>
      </c>
    </row>
    <row r="126" spans="1:6" x14ac:dyDescent="0.35">
      <c r="A126" s="12">
        <f>DATE(2027,5,28)</f>
        <v>46535</v>
      </c>
      <c r="B126" s="13" t="str">
        <f t="shared" si="2"/>
        <v>Fri</v>
      </c>
      <c r="C126" s="11" t="s">
        <v>169</v>
      </c>
      <c r="D126" s="11" t="s">
        <v>200</v>
      </c>
      <c r="E126" s="11" t="s">
        <v>118</v>
      </c>
      <c r="F126" s="26" t="s">
        <v>428</v>
      </c>
    </row>
    <row r="127" spans="1:6" x14ac:dyDescent="0.35">
      <c r="A127" s="12">
        <f>DATE(2027,6,11)</f>
        <v>46549</v>
      </c>
      <c r="B127" s="13" t="str">
        <f t="shared" si="2"/>
        <v>Fri</v>
      </c>
      <c r="C127" s="11" t="s">
        <v>233</v>
      </c>
      <c r="D127" s="11" t="s">
        <v>195</v>
      </c>
      <c r="E127" s="11" t="s">
        <v>121</v>
      </c>
      <c r="F127" s="26" t="s">
        <v>423</v>
      </c>
    </row>
    <row r="128" spans="1:6" x14ac:dyDescent="0.35">
      <c r="A128" s="12">
        <f>DATE(2027,7,9)</f>
        <v>46577</v>
      </c>
      <c r="B128" s="13" t="str">
        <f t="shared" si="2"/>
        <v>Fri</v>
      </c>
      <c r="C128" s="16" t="s">
        <v>434</v>
      </c>
      <c r="D128" s="11" t="s">
        <v>435</v>
      </c>
      <c r="E128" s="11" t="s">
        <v>121</v>
      </c>
      <c r="F128" s="25" t="s">
        <v>436</v>
      </c>
    </row>
    <row r="129" spans="1:6" x14ac:dyDescent="0.35">
      <c r="A129" s="35">
        <f>DATE(2027,7,30)</f>
        <v>46598</v>
      </c>
      <c r="B129" s="36" t="str">
        <f t="shared" si="2"/>
        <v>Fri</v>
      </c>
      <c r="C129" s="37" t="s">
        <v>170</v>
      </c>
      <c r="D129" s="37" t="s">
        <v>201</v>
      </c>
      <c r="E129" s="37" t="s">
        <v>121</v>
      </c>
      <c r="F129" s="26" t="s">
        <v>423</v>
      </c>
    </row>
    <row r="130" spans="1:6" x14ac:dyDescent="0.35">
      <c r="A130" s="12">
        <f>DATE(2027,8,9)</f>
        <v>46608</v>
      </c>
      <c r="B130" s="13" t="str">
        <f>TEXT($A130,"ddd")</f>
        <v>Mon</v>
      </c>
      <c r="C130" s="11" t="s">
        <v>450</v>
      </c>
      <c r="D130" s="11" t="s">
        <v>451</v>
      </c>
      <c r="E130" s="38" t="s">
        <v>447</v>
      </c>
      <c r="F130" s="25" t="s">
        <v>485</v>
      </c>
    </row>
    <row r="131" spans="1:6" x14ac:dyDescent="0.35">
      <c r="A131" s="31">
        <f>DATE(2027,8,16)</f>
        <v>46615</v>
      </c>
      <c r="B131" s="32" t="str">
        <f t="shared" si="2"/>
        <v>Mon</v>
      </c>
      <c r="C131" s="33" t="s">
        <v>171</v>
      </c>
      <c r="D131" s="33" t="s">
        <v>202</v>
      </c>
      <c r="E131" s="33" t="s">
        <v>215</v>
      </c>
      <c r="F131" s="26" t="s">
        <v>427</v>
      </c>
    </row>
    <row r="132" spans="1:6" x14ac:dyDescent="0.35">
      <c r="A132" s="12">
        <f>DATE(2027,9,10)</f>
        <v>46640</v>
      </c>
      <c r="B132" s="13" t="str">
        <f t="shared" si="2"/>
        <v>Fri</v>
      </c>
      <c r="C132" s="11" t="s">
        <v>164</v>
      </c>
      <c r="D132" s="11" t="s">
        <v>195</v>
      </c>
      <c r="E132" s="11" t="s">
        <v>121</v>
      </c>
      <c r="F132" s="26" t="s">
        <v>423</v>
      </c>
    </row>
    <row r="133" spans="1:6" x14ac:dyDescent="0.35">
      <c r="A133" s="12">
        <f>DATE(2027,9,18)</f>
        <v>46648</v>
      </c>
      <c r="B133" s="13" t="str">
        <f t="shared" si="2"/>
        <v>Sat</v>
      </c>
      <c r="C133" s="11" t="s">
        <v>172</v>
      </c>
      <c r="D133" s="11" t="s">
        <v>203</v>
      </c>
      <c r="E133" s="11" t="s">
        <v>128</v>
      </c>
      <c r="F133" s="26" t="s">
        <v>421</v>
      </c>
    </row>
    <row r="134" spans="1:6" x14ac:dyDescent="0.35">
      <c r="A134" s="12">
        <f>DATE(2027,9,30)</f>
        <v>46660</v>
      </c>
      <c r="B134" s="13" t="str">
        <f t="shared" si="2"/>
        <v>Thu</v>
      </c>
      <c r="C134" s="16" t="s">
        <v>598</v>
      </c>
      <c r="D134" s="16" t="s">
        <v>599</v>
      </c>
      <c r="E134" s="11" t="s">
        <v>215</v>
      </c>
      <c r="F134" s="25" t="s">
        <v>422</v>
      </c>
    </row>
    <row r="135" spans="1:6" x14ac:dyDescent="0.35">
      <c r="A135" s="12">
        <f>DATE(2027,10,1)</f>
        <v>46661</v>
      </c>
      <c r="B135" s="13" t="str">
        <f t="shared" si="2"/>
        <v>Fri</v>
      </c>
      <c r="C135" s="16" t="s">
        <v>598</v>
      </c>
      <c r="D135" s="16" t="s">
        <v>599</v>
      </c>
      <c r="E135" s="11" t="s">
        <v>215</v>
      </c>
      <c r="F135" s="25" t="s">
        <v>422</v>
      </c>
    </row>
    <row r="136" spans="1:6" x14ac:dyDescent="0.35">
      <c r="A136" s="12">
        <f>DATE(2027,10,2)</f>
        <v>46662</v>
      </c>
      <c r="B136" s="13" t="str">
        <f t="shared" si="2"/>
        <v>Sat</v>
      </c>
      <c r="C136" s="16" t="s">
        <v>598</v>
      </c>
      <c r="D136" s="16" t="s">
        <v>599</v>
      </c>
      <c r="E136" s="11" t="s">
        <v>215</v>
      </c>
      <c r="F136" s="25" t="s">
        <v>422</v>
      </c>
    </row>
    <row r="137" spans="1:6" x14ac:dyDescent="0.35">
      <c r="A137" s="12">
        <f>DATE(2027,10,3)</f>
        <v>46663</v>
      </c>
      <c r="B137" s="13" t="str">
        <f t="shared" si="2"/>
        <v>Sun</v>
      </c>
      <c r="C137" s="16" t="s">
        <v>598</v>
      </c>
      <c r="D137" s="16" t="s">
        <v>599</v>
      </c>
      <c r="E137" s="11" t="s">
        <v>215</v>
      </c>
      <c r="F137" s="25" t="s">
        <v>422</v>
      </c>
    </row>
    <row r="138" spans="1:6" x14ac:dyDescent="0.35">
      <c r="A138" s="12">
        <f>DATE(2027,10,4)</f>
        <v>46664</v>
      </c>
      <c r="B138" s="13" t="str">
        <f t="shared" si="2"/>
        <v>Mon</v>
      </c>
      <c r="C138" s="16" t="s">
        <v>598</v>
      </c>
      <c r="D138" s="16" t="s">
        <v>599</v>
      </c>
      <c r="E138" s="11" t="s">
        <v>215</v>
      </c>
      <c r="F138" s="25" t="s">
        <v>422</v>
      </c>
    </row>
    <row r="139" spans="1:6" x14ac:dyDescent="0.35">
      <c r="A139" s="12">
        <f>DATE(2027,10,5)</f>
        <v>46665</v>
      </c>
      <c r="B139" s="13" t="str">
        <f t="shared" si="2"/>
        <v>Tue</v>
      </c>
      <c r="C139" s="16" t="s">
        <v>598</v>
      </c>
      <c r="D139" s="16" t="s">
        <v>599</v>
      </c>
      <c r="E139" s="11" t="s">
        <v>215</v>
      </c>
      <c r="F139" s="25" t="s">
        <v>422</v>
      </c>
    </row>
    <row r="140" spans="1:6" x14ac:dyDescent="0.35">
      <c r="A140" s="12">
        <f>DATE(2027,10,6)</f>
        <v>46666</v>
      </c>
      <c r="B140" s="13" t="str">
        <f t="shared" si="2"/>
        <v>Wed</v>
      </c>
      <c r="C140" s="16" t="s">
        <v>598</v>
      </c>
      <c r="D140" s="16" t="s">
        <v>599</v>
      </c>
      <c r="E140" s="11" t="s">
        <v>215</v>
      </c>
      <c r="F140" s="25" t="s">
        <v>422</v>
      </c>
    </row>
    <row r="141" spans="1:6" x14ac:dyDescent="0.35">
      <c r="A141" s="12">
        <f>DATE(2027,10,7)</f>
        <v>46667</v>
      </c>
      <c r="B141" s="13" t="str">
        <f t="shared" si="2"/>
        <v>Thu</v>
      </c>
      <c r="C141" s="16" t="s">
        <v>598</v>
      </c>
      <c r="D141" s="16" t="s">
        <v>599</v>
      </c>
      <c r="E141" s="11" t="s">
        <v>215</v>
      </c>
      <c r="F141" s="25" t="s">
        <v>422</v>
      </c>
    </row>
    <row r="142" spans="1:6" x14ac:dyDescent="0.35">
      <c r="A142" s="12">
        <f>DATE(2027,10,8)</f>
        <v>46668</v>
      </c>
      <c r="B142" s="13" t="str">
        <f t="shared" si="2"/>
        <v>Fri</v>
      </c>
      <c r="C142" s="16" t="s">
        <v>598</v>
      </c>
      <c r="D142" s="16" t="s">
        <v>599</v>
      </c>
      <c r="E142" s="11" t="s">
        <v>215</v>
      </c>
      <c r="F142" s="25" t="s">
        <v>422</v>
      </c>
    </row>
    <row r="143" spans="1:6" x14ac:dyDescent="0.35">
      <c r="A143" s="35">
        <f>DATE(2027,10,15)</f>
        <v>46675</v>
      </c>
      <c r="B143" s="36" t="str">
        <f t="shared" si="2"/>
        <v>Fri</v>
      </c>
      <c r="C143" s="37" t="s">
        <v>164</v>
      </c>
      <c r="D143" s="37" t="s">
        <v>195</v>
      </c>
      <c r="E143" s="37" t="s">
        <v>121</v>
      </c>
      <c r="F143" s="26" t="s">
        <v>423</v>
      </c>
    </row>
    <row r="144" spans="1:6" x14ac:dyDescent="0.35">
      <c r="A144" s="12">
        <f>DATE(2027,10,28)</f>
        <v>46688</v>
      </c>
      <c r="B144" s="13" t="str">
        <f>TEXT($A144,"ddd")</f>
        <v>Thu</v>
      </c>
      <c r="C144" s="11" t="s">
        <v>448</v>
      </c>
      <c r="D144" s="11" t="s">
        <v>449</v>
      </c>
      <c r="E144" s="38" t="s">
        <v>447</v>
      </c>
      <c r="F144" s="25" t="s">
        <v>487</v>
      </c>
    </row>
    <row r="145" spans="1:6" x14ac:dyDescent="0.35">
      <c r="A145" s="31">
        <f>DATE(2027,11,1)</f>
        <v>46692</v>
      </c>
      <c r="B145" s="36" t="str">
        <f>TEXT($A145,"ddd")</f>
        <v>Mon</v>
      </c>
      <c r="C145" s="40" t="s">
        <v>613</v>
      </c>
      <c r="D145" s="40"/>
      <c r="E145" s="37" t="s">
        <v>128</v>
      </c>
      <c r="F145" s="25" t="s">
        <v>426</v>
      </c>
    </row>
    <row r="146" spans="1:6" x14ac:dyDescent="0.35">
      <c r="A146" s="31">
        <f>DATE(2027,11,12)</f>
        <v>46703</v>
      </c>
      <c r="B146" s="32" t="str">
        <f t="shared" si="2"/>
        <v>Fri</v>
      </c>
      <c r="C146" s="33" t="s">
        <v>164</v>
      </c>
      <c r="D146" s="33" t="s">
        <v>195</v>
      </c>
      <c r="E146" s="33" t="s">
        <v>121</v>
      </c>
      <c r="F146" s="26" t="s">
        <v>423</v>
      </c>
    </row>
    <row r="147" spans="1:6" x14ac:dyDescent="0.35">
      <c r="A147" s="12">
        <f>DATE(2027,11,26)</f>
        <v>46717</v>
      </c>
      <c r="B147" s="13" t="str">
        <f t="shared" si="2"/>
        <v>Fri</v>
      </c>
      <c r="C147" s="16" t="s">
        <v>434</v>
      </c>
      <c r="D147" s="11" t="s">
        <v>435</v>
      </c>
      <c r="E147" s="11" t="s">
        <v>121</v>
      </c>
      <c r="F147" s="25" t="s">
        <v>436</v>
      </c>
    </row>
    <row r="148" spans="1:6" x14ac:dyDescent="0.35">
      <c r="A148" s="35">
        <f>DATE(2027,12,16)</f>
        <v>46737</v>
      </c>
      <c r="B148" s="36" t="str">
        <f t="shared" si="2"/>
        <v>Thu</v>
      </c>
      <c r="C148" s="37" t="s">
        <v>162</v>
      </c>
      <c r="D148" s="40" t="s">
        <v>192</v>
      </c>
      <c r="E148" s="37" t="s">
        <v>128</v>
      </c>
      <c r="F148" s="26" t="s">
        <v>426</v>
      </c>
    </row>
    <row r="149" spans="1:6" x14ac:dyDescent="0.35">
      <c r="A149" s="12">
        <f>DATE(2027,12,25)</f>
        <v>46746</v>
      </c>
      <c r="B149" s="36" t="str">
        <f>TEXT($A149,"ddd")</f>
        <v>Sat</v>
      </c>
      <c r="C149" s="40" t="s">
        <v>606</v>
      </c>
      <c r="D149" s="37"/>
      <c r="E149" s="33" t="s">
        <v>128</v>
      </c>
      <c r="F149" s="44" t="s">
        <v>607</v>
      </c>
    </row>
    <row r="150" spans="1:6" x14ac:dyDescent="0.35">
      <c r="A150" s="12">
        <f>DATE(2027,12,25)</f>
        <v>46746</v>
      </c>
      <c r="B150" s="13" t="str">
        <f>TEXT($A150,"ddd")</f>
        <v>Sat</v>
      </c>
      <c r="C150" s="11" t="s">
        <v>445</v>
      </c>
      <c r="D150" s="11" t="s">
        <v>446</v>
      </c>
      <c r="E150" s="38" t="s">
        <v>447</v>
      </c>
      <c r="F150" s="25" t="s">
        <v>489</v>
      </c>
    </row>
    <row r="151" spans="1:6" x14ac:dyDescent="0.35">
      <c r="A151" s="12">
        <f>DATE(2028,1,1)</f>
        <v>46753</v>
      </c>
      <c r="B151" s="13" t="str">
        <f>TEXT($A151,"ddd")</f>
        <v>Sat</v>
      </c>
      <c r="C151" s="11" t="s">
        <v>469</v>
      </c>
      <c r="D151" s="11" t="s">
        <v>470</v>
      </c>
      <c r="E151" s="38" t="s">
        <v>447</v>
      </c>
      <c r="F151" s="25" t="s">
        <v>477</v>
      </c>
    </row>
    <row r="152" spans="1:6" x14ac:dyDescent="0.35">
      <c r="A152" s="12">
        <f>DATE(2028,4,1)</f>
        <v>46844</v>
      </c>
      <c r="B152" s="32" t="str">
        <f>TEXT($A152,"ddd")</f>
        <v>Sat</v>
      </c>
      <c r="C152" s="43" t="s">
        <v>608</v>
      </c>
      <c r="D152" s="43" t="s">
        <v>609</v>
      </c>
      <c r="E152" s="43" t="s">
        <v>128</v>
      </c>
      <c r="F152" s="45" t="s">
        <v>580</v>
      </c>
    </row>
    <row r="153" spans="1:6" x14ac:dyDescent="0.35">
      <c r="A153" s="12">
        <f>DATE(2028,9,1)</f>
        <v>46997</v>
      </c>
      <c r="B153" s="13" t="str">
        <f t="shared" ref="B153:B154" si="3">TEXT($A153,"ddd")</f>
        <v>Fri</v>
      </c>
      <c r="C153" s="16" t="s">
        <v>610</v>
      </c>
      <c r="D153" s="11" t="s">
        <v>203</v>
      </c>
      <c r="E153" s="11" t="s">
        <v>128</v>
      </c>
      <c r="F153" s="26" t="s">
        <v>421</v>
      </c>
    </row>
    <row r="154" spans="1:6" x14ac:dyDescent="0.35">
      <c r="A154" s="12">
        <f>DATE(2028,10,1)</f>
        <v>47027</v>
      </c>
      <c r="B154" s="13" t="str">
        <f t="shared" si="3"/>
        <v>Sun</v>
      </c>
      <c r="C154" s="16" t="s">
        <v>611</v>
      </c>
      <c r="D154" s="11"/>
      <c r="E154" s="11" t="s">
        <v>128</v>
      </c>
      <c r="F154" s="45" t="s">
        <v>612</v>
      </c>
    </row>
    <row r="155" spans="1:6" x14ac:dyDescent="0.35">
      <c r="A155" s="12">
        <f>DATE(2028,10,18)</f>
        <v>47044</v>
      </c>
      <c r="B155" s="13" t="str">
        <f t="shared" ref="B155:B164" si="4">TEXT($A155,"ddd")</f>
        <v>Wed</v>
      </c>
      <c r="C155" s="16" t="s">
        <v>598</v>
      </c>
      <c r="D155" s="16" t="s">
        <v>599</v>
      </c>
      <c r="E155" s="11" t="s">
        <v>215</v>
      </c>
      <c r="F155" s="25" t="s">
        <v>422</v>
      </c>
    </row>
    <row r="156" spans="1:6" x14ac:dyDescent="0.35">
      <c r="A156" s="12">
        <f>DATE(2028,10,19)</f>
        <v>47045</v>
      </c>
      <c r="B156" s="13" t="str">
        <f t="shared" si="4"/>
        <v>Thu</v>
      </c>
      <c r="C156" s="16" t="s">
        <v>598</v>
      </c>
      <c r="D156" s="16" t="s">
        <v>599</v>
      </c>
      <c r="E156" s="11" t="s">
        <v>215</v>
      </c>
      <c r="F156" s="25" t="s">
        <v>422</v>
      </c>
    </row>
    <row r="157" spans="1:6" x14ac:dyDescent="0.35">
      <c r="A157" s="12">
        <f>DATE(2028,10,20)</f>
        <v>47046</v>
      </c>
      <c r="B157" s="13" t="str">
        <f t="shared" si="4"/>
        <v>Fri</v>
      </c>
      <c r="C157" s="16" t="s">
        <v>598</v>
      </c>
      <c r="D157" s="16" t="s">
        <v>599</v>
      </c>
      <c r="E157" s="11" t="s">
        <v>215</v>
      </c>
      <c r="F157" s="25" t="s">
        <v>422</v>
      </c>
    </row>
    <row r="158" spans="1:6" x14ac:dyDescent="0.35">
      <c r="A158" s="12">
        <f>DATE(2028,10,21)</f>
        <v>47047</v>
      </c>
      <c r="B158" s="13" t="str">
        <f t="shared" si="4"/>
        <v>Sat</v>
      </c>
      <c r="C158" s="16" t="s">
        <v>598</v>
      </c>
      <c r="D158" s="16" t="s">
        <v>599</v>
      </c>
      <c r="E158" s="11" t="s">
        <v>215</v>
      </c>
      <c r="F158" s="25" t="s">
        <v>422</v>
      </c>
    </row>
    <row r="159" spans="1:6" x14ac:dyDescent="0.35">
      <c r="A159" s="12">
        <f>DATE(2028,10,22)</f>
        <v>47048</v>
      </c>
      <c r="B159" s="13" t="str">
        <f t="shared" si="4"/>
        <v>Sun</v>
      </c>
      <c r="C159" s="16" t="s">
        <v>598</v>
      </c>
      <c r="D159" s="16" t="s">
        <v>599</v>
      </c>
      <c r="E159" s="11" t="s">
        <v>215</v>
      </c>
      <c r="F159" s="25" t="s">
        <v>422</v>
      </c>
    </row>
    <row r="160" spans="1:6" x14ac:dyDescent="0.35">
      <c r="A160" s="12">
        <f>DATE(2028,10,23)</f>
        <v>47049</v>
      </c>
      <c r="B160" s="13" t="str">
        <f t="shared" si="4"/>
        <v>Mon</v>
      </c>
      <c r="C160" s="16" t="s">
        <v>598</v>
      </c>
      <c r="D160" s="16" t="s">
        <v>599</v>
      </c>
      <c r="E160" s="11" t="s">
        <v>215</v>
      </c>
      <c r="F160" s="25" t="s">
        <v>422</v>
      </c>
    </row>
    <row r="161" spans="1:6" x14ac:dyDescent="0.35">
      <c r="A161" s="12">
        <f>DATE(2028,10,24)</f>
        <v>47050</v>
      </c>
      <c r="B161" s="13" t="str">
        <f t="shared" si="4"/>
        <v>Tue</v>
      </c>
      <c r="C161" s="16" t="s">
        <v>598</v>
      </c>
      <c r="D161" s="16" t="s">
        <v>599</v>
      </c>
      <c r="E161" s="11" t="s">
        <v>215</v>
      </c>
      <c r="F161" s="25" t="s">
        <v>422</v>
      </c>
    </row>
    <row r="162" spans="1:6" x14ac:dyDescent="0.35">
      <c r="A162" s="12">
        <f>DATE(2028,10,25)</f>
        <v>47051</v>
      </c>
      <c r="B162" s="13" t="str">
        <f t="shared" si="4"/>
        <v>Wed</v>
      </c>
      <c r="C162" s="16" t="s">
        <v>598</v>
      </c>
      <c r="D162" s="16" t="s">
        <v>599</v>
      </c>
      <c r="E162" s="11" t="s">
        <v>215</v>
      </c>
      <c r="F162" s="25" t="s">
        <v>422</v>
      </c>
    </row>
    <row r="163" spans="1:6" x14ac:dyDescent="0.35">
      <c r="A163" s="12">
        <f>DATE(2028,10,26)</f>
        <v>47052</v>
      </c>
      <c r="B163" s="13" t="str">
        <f t="shared" si="4"/>
        <v>Thu</v>
      </c>
      <c r="C163" s="16" t="s">
        <v>598</v>
      </c>
      <c r="D163" s="16" t="s">
        <v>599</v>
      </c>
      <c r="E163" s="11" t="s">
        <v>215</v>
      </c>
      <c r="F163" s="25" t="s">
        <v>422</v>
      </c>
    </row>
    <row r="164" spans="1:6" x14ac:dyDescent="0.35">
      <c r="A164" s="12">
        <f>DATE(2028,11,1)</f>
        <v>47058</v>
      </c>
      <c r="B164" s="36" t="str">
        <f t="shared" si="4"/>
        <v>Wed</v>
      </c>
      <c r="C164" s="40" t="s">
        <v>613</v>
      </c>
      <c r="D164" s="40"/>
      <c r="E164" s="37" t="s">
        <v>128</v>
      </c>
      <c r="F164" s="25" t="s">
        <v>426</v>
      </c>
    </row>
  </sheetData>
  <autoFilter ref="A1:E15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tabSelected="1" workbookViewId="0">
      <pane ySplit="1" topLeftCell="A4" activePane="bottomLeft" state="frozen"/>
      <selection pane="bottomLeft" activeCell="B26" sqref="B2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81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82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91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83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84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93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99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85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107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86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92</v>
      </c>
    </row>
    <row r="13" spans="1:4" ht="15" thickBot="1" x14ac:dyDescent="0.4">
      <c r="A13" s="4">
        <v>12</v>
      </c>
      <c r="B13" s="7" t="s">
        <v>58</v>
      </c>
      <c r="C13" s="9"/>
      <c r="D13" s="4" t="s">
        <v>100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87</v>
      </c>
    </row>
    <row r="15" spans="1:4" ht="15" thickBot="1" x14ac:dyDescent="0.4">
      <c r="A15" s="4">
        <v>14</v>
      </c>
      <c r="B15" s="7" t="s">
        <v>61</v>
      </c>
      <c r="C15" s="8" t="s">
        <v>235</v>
      </c>
      <c r="D15" s="4" t="s">
        <v>94</v>
      </c>
    </row>
    <row r="16" spans="1:4" ht="15" thickBot="1" x14ac:dyDescent="0.4">
      <c r="A16" s="4">
        <v>15</v>
      </c>
      <c r="B16" s="7" t="s">
        <v>173</v>
      </c>
      <c r="C16" s="8" t="s">
        <v>62</v>
      </c>
      <c r="D16" s="4" t="s">
        <v>101</v>
      </c>
    </row>
    <row r="17" spans="1:4" ht="15" thickBot="1" x14ac:dyDescent="0.4">
      <c r="A17" s="4">
        <v>16</v>
      </c>
      <c r="B17" s="7" t="s">
        <v>63</v>
      </c>
      <c r="C17" s="8" t="s">
        <v>64</v>
      </c>
      <c r="D17" s="4" t="s">
        <v>102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88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95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96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103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97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98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89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90</v>
      </c>
    </row>
    <row r="26" spans="1:4" ht="15" thickBot="1" x14ac:dyDescent="0.4">
      <c r="A26" s="4"/>
      <c r="B26" s="7"/>
      <c r="C26" s="8"/>
      <c r="D26" s="4"/>
    </row>
    <row r="28" spans="1:4" ht="15" thickBot="1" x14ac:dyDescent="0.4">
      <c r="A28" t="s">
        <v>619</v>
      </c>
      <c r="B28" s="7" t="s">
        <v>617</v>
      </c>
      <c r="C28" s="16" t="s">
        <v>618</v>
      </c>
      <c r="D28" s="16" t="s">
        <v>616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161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107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105</v>
      </c>
      <c r="E3" s="4" t="s">
        <v>104</v>
      </c>
      <c r="F3" s="4" t="s">
        <v>93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106</v>
      </c>
      <c r="E4" s="4" t="s">
        <v>229</v>
      </c>
      <c r="F4" s="4" t="s">
        <v>91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106</v>
      </c>
      <c r="E5" s="4" t="s">
        <v>229</v>
      </c>
      <c r="F5" s="4" t="s">
        <v>84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106</v>
      </c>
      <c r="E6" s="4" t="s">
        <v>229</v>
      </c>
      <c r="F6" s="4" t="s">
        <v>99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106</v>
      </c>
      <c r="E7" s="4" t="s">
        <v>229</v>
      </c>
      <c r="F7" s="4" t="s">
        <v>86</v>
      </c>
    </row>
    <row r="8" spans="1:6" x14ac:dyDescent="0.35">
      <c r="A8" s="4">
        <v>7</v>
      </c>
      <c r="B8" s="4" t="s">
        <v>65</v>
      </c>
      <c r="C8" s="4" t="s">
        <v>66</v>
      </c>
      <c r="D8" s="4" t="s">
        <v>106</v>
      </c>
      <c r="E8" s="4" t="s">
        <v>229</v>
      </c>
      <c r="F8" s="4" t="s">
        <v>88</v>
      </c>
    </row>
    <row r="9" spans="1:6" x14ac:dyDescent="0.35">
      <c r="A9" s="14">
        <v>8</v>
      </c>
      <c r="B9" t="s">
        <v>75</v>
      </c>
      <c r="C9" t="s">
        <v>76</v>
      </c>
      <c r="D9" s="14" t="s">
        <v>108</v>
      </c>
      <c r="E9" s="14" t="s">
        <v>112</v>
      </c>
      <c r="F9" t="s">
        <v>98</v>
      </c>
    </row>
    <row r="10" spans="1:6" x14ac:dyDescent="0.35">
      <c r="A10" s="14">
        <v>9</v>
      </c>
      <c r="B10" t="s">
        <v>71</v>
      </c>
      <c r="C10" t="s">
        <v>72</v>
      </c>
      <c r="D10" s="14" t="s">
        <v>109</v>
      </c>
      <c r="E10" s="14" t="s">
        <v>113</v>
      </c>
      <c r="F10" t="s">
        <v>103</v>
      </c>
    </row>
    <row r="11" spans="1:6" x14ac:dyDescent="0.35">
      <c r="A11" s="14">
        <v>10</v>
      </c>
      <c r="B11" t="s">
        <v>69</v>
      </c>
      <c r="C11" t="s">
        <v>70</v>
      </c>
      <c r="D11" s="14" t="s">
        <v>110</v>
      </c>
      <c r="E11" s="14" t="s">
        <v>114</v>
      </c>
      <c r="F11" t="s">
        <v>96</v>
      </c>
    </row>
    <row r="12" spans="1:6" x14ac:dyDescent="0.35">
      <c r="A12" s="14">
        <v>11</v>
      </c>
      <c r="B12" t="s">
        <v>63</v>
      </c>
      <c r="C12" t="s">
        <v>64</v>
      </c>
      <c r="D12" s="14" t="s">
        <v>111</v>
      </c>
      <c r="E12" s="14" t="s">
        <v>115</v>
      </c>
      <c r="F12" t="s">
        <v>102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7" sqref="G17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174</v>
      </c>
      <c r="B2" s="16" t="s">
        <v>175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91</v>
      </c>
    </row>
    <row r="3" spans="1:7" x14ac:dyDescent="0.35">
      <c r="A3" s="16" t="s">
        <v>174</v>
      </c>
      <c r="B3" s="16" t="s">
        <v>175</v>
      </c>
      <c r="C3" s="17">
        <v>2</v>
      </c>
      <c r="D3" s="16" t="s">
        <v>58</v>
      </c>
      <c r="E3" s="16"/>
      <c r="F3" s="16" t="s">
        <v>29</v>
      </c>
      <c r="G3" s="16" t="s">
        <v>100</v>
      </c>
    </row>
    <row r="4" spans="1:7" x14ac:dyDescent="0.35">
      <c r="A4" s="16" t="s">
        <v>174</v>
      </c>
      <c r="B4" s="16" t="s">
        <v>175</v>
      </c>
      <c r="C4" s="17">
        <v>3</v>
      </c>
      <c r="D4" s="16" t="s">
        <v>173</v>
      </c>
      <c r="E4" s="16" t="s">
        <v>62</v>
      </c>
      <c r="F4" s="16" t="s">
        <v>29</v>
      </c>
      <c r="G4" s="16" t="s">
        <v>101</v>
      </c>
    </row>
    <row r="5" spans="1:7" x14ac:dyDescent="0.35">
      <c r="A5" s="16" t="s">
        <v>174</v>
      </c>
      <c r="B5" s="16" t="s">
        <v>175</v>
      </c>
      <c r="C5" s="17">
        <v>4</v>
      </c>
      <c r="D5" s="16" t="s">
        <v>57</v>
      </c>
      <c r="E5" s="16"/>
      <c r="F5" s="16" t="s">
        <v>29</v>
      </c>
      <c r="G5" s="16" t="s">
        <v>92</v>
      </c>
    </row>
    <row r="6" spans="1:7" x14ac:dyDescent="0.35">
      <c r="A6" s="16" t="s">
        <v>174</v>
      </c>
      <c r="B6" s="16" t="s">
        <v>175</v>
      </c>
      <c r="C6" s="17">
        <v>5</v>
      </c>
      <c r="D6" s="16" t="s">
        <v>63</v>
      </c>
      <c r="E6" s="16" t="s">
        <v>64</v>
      </c>
      <c r="F6" s="16" t="s">
        <v>29</v>
      </c>
      <c r="G6" s="16" t="s">
        <v>102</v>
      </c>
    </row>
    <row r="7" spans="1:7" x14ac:dyDescent="0.35">
      <c r="A7" s="16" t="s">
        <v>176</v>
      </c>
      <c r="B7" s="16" t="s">
        <v>177</v>
      </c>
      <c r="C7" s="17">
        <v>1</v>
      </c>
      <c r="D7" s="16" t="s">
        <v>67</v>
      </c>
      <c r="E7" s="16" t="s">
        <v>68</v>
      </c>
      <c r="F7" s="16" t="s">
        <v>28</v>
      </c>
      <c r="G7" s="16" t="s">
        <v>95</v>
      </c>
    </row>
    <row r="8" spans="1:7" x14ac:dyDescent="0.35">
      <c r="A8" s="16" t="s">
        <v>176</v>
      </c>
      <c r="B8" s="16" t="s">
        <v>177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85</v>
      </c>
    </row>
    <row r="9" spans="1:7" x14ac:dyDescent="0.35">
      <c r="A9" s="16" t="s">
        <v>178</v>
      </c>
      <c r="B9" s="16" t="s">
        <v>179</v>
      </c>
      <c r="C9" s="17">
        <v>1</v>
      </c>
      <c r="D9" s="16" t="s">
        <v>73</v>
      </c>
      <c r="E9" s="16" t="s">
        <v>74</v>
      </c>
      <c r="F9" s="16" t="s">
        <v>28</v>
      </c>
      <c r="G9" s="16" t="s">
        <v>97</v>
      </c>
    </row>
    <row r="10" spans="1:7" x14ac:dyDescent="0.35">
      <c r="A10" s="16" t="s">
        <v>178</v>
      </c>
      <c r="B10" s="16" t="s">
        <v>179</v>
      </c>
      <c r="C10" s="17">
        <v>2</v>
      </c>
      <c r="D10" s="16" t="s">
        <v>77</v>
      </c>
      <c r="E10" s="16" t="s">
        <v>78</v>
      </c>
      <c r="F10" s="16" t="s">
        <v>29</v>
      </c>
      <c r="G10" s="16" t="s">
        <v>89</v>
      </c>
    </row>
    <row r="11" spans="1:7" x14ac:dyDescent="0.35">
      <c r="A11" s="16" t="s">
        <v>180</v>
      </c>
      <c r="B11" s="16" t="s">
        <v>181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87</v>
      </c>
    </row>
    <row r="12" spans="1:7" x14ac:dyDescent="0.35">
      <c r="A12" s="16" t="s">
        <v>180</v>
      </c>
      <c r="B12" s="16" t="s">
        <v>181</v>
      </c>
      <c r="C12" s="17">
        <v>2</v>
      </c>
      <c r="D12" s="16" t="s">
        <v>61</v>
      </c>
      <c r="E12" s="16" t="s">
        <v>235</v>
      </c>
      <c r="F12" s="16" t="s">
        <v>29</v>
      </c>
      <c r="G12" s="16" t="s">
        <v>94</v>
      </c>
    </row>
    <row r="13" spans="1:7" x14ac:dyDescent="0.35">
      <c r="A13" s="16" t="s">
        <v>180</v>
      </c>
      <c r="B13" s="16" t="s">
        <v>181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82</v>
      </c>
    </row>
    <row r="14" spans="1:7" x14ac:dyDescent="0.35">
      <c r="A14" s="16" t="s">
        <v>180</v>
      </c>
      <c r="B14" s="16" t="s">
        <v>181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81</v>
      </c>
    </row>
    <row r="15" spans="1:7" x14ac:dyDescent="0.35">
      <c r="A15" s="16" t="s">
        <v>182</v>
      </c>
      <c r="B15" s="16" t="s">
        <v>183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83</v>
      </c>
    </row>
    <row r="16" spans="1:7" x14ac:dyDescent="0.35">
      <c r="A16" s="16" t="s">
        <v>182</v>
      </c>
      <c r="B16" s="16" t="s">
        <v>183</v>
      </c>
      <c r="C16" s="17">
        <v>2</v>
      </c>
      <c r="D16" s="16" t="s">
        <v>79</v>
      </c>
      <c r="E16" s="16" t="s">
        <v>80</v>
      </c>
      <c r="F16" s="16" t="s">
        <v>29</v>
      </c>
      <c r="G16" s="16" t="s">
        <v>90</v>
      </c>
    </row>
    <row r="17" spans="1:7" ht="15" thickBot="1" x14ac:dyDescent="0.4">
      <c r="A17" s="16" t="s">
        <v>184</v>
      </c>
      <c r="B17" s="16" t="s">
        <v>185</v>
      </c>
      <c r="C17" s="17">
        <v>1</v>
      </c>
      <c r="D17" s="7" t="s">
        <v>617</v>
      </c>
      <c r="E17" s="16" t="s">
        <v>618</v>
      </c>
      <c r="F17" s="16" t="s">
        <v>28</v>
      </c>
      <c r="G17" s="16" t="s">
        <v>616</v>
      </c>
    </row>
    <row r="18" spans="1:7" x14ac:dyDescent="0.35">
      <c r="A18" s="16" t="s">
        <v>184</v>
      </c>
      <c r="B18" s="16" t="s">
        <v>185</v>
      </c>
      <c r="C18" s="17">
        <v>2</v>
      </c>
      <c r="D18" s="16" t="s">
        <v>71</v>
      </c>
      <c r="E18" s="16" t="s">
        <v>72</v>
      </c>
      <c r="F18" s="16" t="s">
        <v>29</v>
      </c>
      <c r="G18" s="16" t="s">
        <v>103</v>
      </c>
    </row>
    <row r="19" spans="1:7" x14ac:dyDescent="0.35">
      <c r="A19" s="16" t="s">
        <v>184</v>
      </c>
      <c r="B19" s="16" t="s">
        <v>185</v>
      </c>
      <c r="C19" s="17">
        <v>3</v>
      </c>
      <c r="D19" s="16" t="s">
        <v>73</v>
      </c>
      <c r="E19" s="16" t="s">
        <v>74</v>
      </c>
      <c r="F19" s="16" t="s">
        <v>29</v>
      </c>
      <c r="G19" s="16" t="s">
        <v>97</v>
      </c>
    </row>
    <row r="20" spans="1:7" x14ac:dyDescent="0.35">
      <c r="A20" s="16" t="s">
        <v>186</v>
      </c>
      <c r="B20" s="16" t="s">
        <v>187</v>
      </c>
      <c r="C20" s="17">
        <v>1</v>
      </c>
      <c r="D20" s="16" t="s">
        <v>67</v>
      </c>
      <c r="E20" s="16" t="s">
        <v>68</v>
      </c>
      <c r="F20" s="16" t="s">
        <v>28</v>
      </c>
      <c r="G20" s="16" t="s">
        <v>95</v>
      </c>
    </row>
    <row r="21" spans="1:7" x14ac:dyDescent="0.35">
      <c r="A21" s="16" t="s">
        <v>186</v>
      </c>
      <c r="B21" s="16" t="s">
        <v>187</v>
      </c>
      <c r="C21" s="17">
        <v>2</v>
      </c>
      <c r="D21" s="16" t="s">
        <v>79</v>
      </c>
      <c r="E21" s="16" t="s">
        <v>80</v>
      </c>
      <c r="F21" s="16" t="s">
        <v>29</v>
      </c>
      <c r="G21" s="16" t="s">
        <v>90</v>
      </c>
    </row>
    <row r="22" spans="1:7" x14ac:dyDescent="0.35">
      <c r="A22" s="16" t="s">
        <v>186</v>
      </c>
      <c r="B22" s="16" t="s">
        <v>187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161</v>
      </c>
      <c r="F1" s="3" t="s">
        <v>21</v>
      </c>
    </row>
    <row r="2" spans="1:8" x14ac:dyDescent="0.35">
      <c r="A2" s="22" t="s">
        <v>300</v>
      </c>
      <c r="B2" t="s">
        <v>236</v>
      </c>
      <c r="C2" t="s">
        <v>237</v>
      </c>
      <c r="D2" t="s">
        <v>332</v>
      </c>
      <c r="E2" t="s">
        <v>333</v>
      </c>
      <c r="F2" s="4" t="str">
        <f>G2&amp;H2</f>
        <v>jinhoa.jpg</v>
      </c>
      <c r="G2" t="s">
        <v>352</v>
      </c>
      <c r="H2" t="s">
        <v>351</v>
      </c>
    </row>
    <row r="3" spans="1:8" x14ac:dyDescent="0.35">
      <c r="A3" s="22" t="s">
        <v>301</v>
      </c>
      <c r="B3" t="s">
        <v>238</v>
      </c>
      <c r="C3" t="s">
        <v>269</v>
      </c>
      <c r="D3" t="s">
        <v>334</v>
      </c>
      <c r="E3" t="s">
        <v>335</v>
      </c>
      <c r="F3" s="4" t="str">
        <f t="shared" ref="F3:F33" si="0">G3&amp;H3</f>
        <v>kathy.jpg</v>
      </c>
      <c r="G3" t="s">
        <v>353</v>
      </c>
      <c r="H3" t="s">
        <v>351</v>
      </c>
    </row>
    <row r="4" spans="1:8" x14ac:dyDescent="0.35">
      <c r="A4" s="22" t="s">
        <v>302</v>
      </c>
      <c r="B4" t="s">
        <v>239</v>
      </c>
      <c r="C4" t="s">
        <v>270</v>
      </c>
      <c r="D4" t="s">
        <v>336</v>
      </c>
      <c r="E4" t="s">
        <v>337</v>
      </c>
      <c r="F4" s="4" t="str">
        <f t="shared" si="0"/>
        <v>aceline.jpg</v>
      </c>
      <c r="G4" t="s">
        <v>354</v>
      </c>
      <c r="H4" t="s">
        <v>351</v>
      </c>
    </row>
    <row r="5" spans="1:8" x14ac:dyDescent="0.35">
      <c r="A5" s="22" t="s">
        <v>303</v>
      </c>
      <c r="B5" t="s">
        <v>240</v>
      </c>
      <c r="C5" t="s">
        <v>271</v>
      </c>
      <c r="D5" t="s">
        <v>338</v>
      </c>
      <c r="F5" s="4" t="str">
        <f t="shared" si="0"/>
        <v>agnes.jpg</v>
      </c>
      <c r="G5" t="s">
        <v>355</v>
      </c>
      <c r="H5" t="s">
        <v>351</v>
      </c>
    </row>
    <row r="6" spans="1:8" x14ac:dyDescent="0.35">
      <c r="A6" s="22" t="s">
        <v>304</v>
      </c>
      <c r="B6" t="s">
        <v>241</v>
      </c>
      <c r="C6" t="s">
        <v>272</v>
      </c>
      <c r="D6" t="s">
        <v>339</v>
      </c>
      <c r="F6" s="4" t="str">
        <f t="shared" si="0"/>
        <v>bryan.jpg</v>
      </c>
      <c r="G6" t="s">
        <v>356</v>
      </c>
      <c r="H6" t="s">
        <v>351</v>
      </c>
    </row>
    <row r="7" spans="1:8" x14ac:dyDescent="0.35">
      <c r="A7" s="22" t="s">
        <v>305</v>
      </c>
      <c r="B7" t="s">
        <v>242</v>
      </c>
      <c r="C7" t="s">
        <v>273</v>
      </c>
      <c r="D7" t="s">
        <v>340</v>
      </c>
      <c r="F7" s="4" t="str">
        <f t="shared" si="0"/>
        <v>yinyee.jpg</v>
      </c>
      <c r="G7" t="s">
        <v>357</v>
      </c>
      <c r="H7" t="s">
        <v>351</v>
      </c>
    </row>
    <row r="8" spans="1:8" x14ac:dyDescent="0.35">
      <c r="A8" s="22" t="s">
        <v>306</v>
      </c>
      <c r="B8" t="s">
        <v>243</v>
      </c>
      <c r="C8" t="s">
        <v>274</v>
      </c>
      <c r="D8" t="s">
        <v>341</v>
      </c>
      <c r="F8" s="4" t="str">
        <f t="shared" si="0"/>
        <v>jingyi.jpg</v>
      </c>
      <c r="G8" t="s">
        <v>358</v>
      </c>
      <c r="H8" t="s">
        <v>351</v>
      </c>
    </row>
    <row r="9" spans="1:8" x14ac:dyDescent="0.35">
      <c r="A9" s="22" t="s">
        <v>307</v>
      </c>
      <c r="B9" t="s">
        <v>244</v>
      </c>
      <c r="C9" t="s">
        <v>275</v>
      </c>
      <c r="D9" t="s">
        <v>342</v>
      </c>
      <c r="F9" s="4" t="str">
        <f t="shared" si="0"/>
        <v>chihwee.jpg</v>
      </c>
      <c r="G9" t="s">
        <v>359</v>
      </c>
      <c r="H9" t="s">
        <v>351</v>
      </c>
    </row>
    <row r="10" spans="1:8" x14ac:dyDescent="0.35">
      <c r="A10" s="22" t="s">
        <v>308</v>
      </c>
      <c r="B10" t="s">
        <v>245</v>
      </c>
      <c r="C10" t="s">
        <v>276</v>
      </c>
      <c r="D10" t="s">
        <v>343</v>
      </c>
      <c r="F10" s="4" t="str">
        <f t="shared" si="0"/>
        <v>crystal.jpg</v>
      </c>
      <c r="G10" t="s">
        <v>360</v>
      </c>
      <c r="H10" t="s">
        <v>351</v>
      </c>
    </row>
    <row r="11" spans="1:8" x14ac:dyDescent="0.35">
      <c r="A11" s="22" t="s">
        <v>309</v>
      </c>
      <c r="B11" t="s">
        <v>246</v>
      </c>
      <c r="C11" t="s">
        <v>277</v>
      </c>
      <c r="D11" t="s">
        <v>344</v>
      </c>
      <c r="F11" s="4" t="str">
        <f t="shared" si="0"/>
        <v>peiyuen.jpg</v>
      </c>
      <c r="G11" t="s">
        <v>361</v>
      </c>
      <c r="H11" t="s">
        <v>351</v>
      </c>
    </row>
    <row r="12" spans="1:8" x14ac:dyDescent="0.35">
      <c r="A12" s="22" t="s">
        <v>310</v>
      </c>
      <c r="B12" t="s">
        <v>247</v>
      </c>
      <c r="C12" t="s">
        <v>278</v>
      </c>
      <c r="D12" t="s">
        <v>345</v>
      </c>
      <c r="F12" s="4" t="str">
        <f t="shared" si="0"/>
        <v>doran.jpg</v>
      </c>
      <c r="G12" t="s">
        <v>362</v>
      </c>
      <c r="H12" t="s">
        <v>351</v>
      </c>
    </row>
    <row r="13" spans="1:8" x14ac:dyDescent="0.35">
      <c r="A13" s="22" t="s">
        <v>311</v>
      </c>
      <c r="B13" t="s">
        <v>248</v>
      </c>
      <c r="C13" t="s">
        <v>279</v>
      </c>
      <c r="D13" t="s">
        <v>346</v>
      </c>
      <c r="F13" s="4" t="str">
        <f t="shared" si="0"/>
        <v>alicia.jpg</v>
      </c>
      <c r="G13" t="s">
        <v>363</v>
      </c>
      <c r="H13" t="s">
        <v>351</v>
      </c>
    </row>
    <row r="14" spans="1:8" x14ac:dyDescent="0.35">
      <c r="A14" s="22" t="s">
        <v>312</v>
      </c>
      <c r="B14" t="s">
        <v>249</v>
      </c>
      <c r="C14" t="s">
        <v>280</v>
      </c>
      <c r="D14" t="s">
        <v>347</v>
      </c>
      <c r="E14" t="s">
        <v>348</v>
      </c>
      <c r="F14" s="4" t="str">
        <f t="shared" si="0"/>
        <v>keongeng.jpg</v>
      </c>
      <c r="G14" t="s">
        <v>364</v>
      </c>
      <c r="H14" t="s">
        <v>351</v>
      </c>
    </row>
    <row r="15" spans="1:8" x14ac:dyDescent="0.35">
      <c r="A15" s="22" t="s">
        <v>313</v>
      </c>
      <c r="B15" t="s">
        <v>250</v>
      </c>
      <c r="C15" t="s">
        <v>281</v>
      </c>
      <c r="D15" t="s">
        <v>347</v>
      </c>
      <c r="E15" t="s">
        <v>348</v>
      </c>
      <c r="F15" s="4" t="str">
        <f t="shared" si="0"/>
        <v>siokteng.jpg</v>
      </c>
      <c r="G15" t="s">
        <v>365</v>
      </c>
      <c r="H15" t="s">
        <v>351</v>
      </c>
    </row>
    <row r="16" spans="1:8" x14ac:dyDescent="0.35">
      <c r="A16" s="22" t="s">
        <v>314</v>
      </c>
      <c r="B16" t="s">
        <v>251</v>
      </c>
      <c r="C16" t="s">
        <v>282</v>
      </c>
      <c r="D16" t="s">
        <v>347</v>
      </c>
      <c r="E16" t="s">
        <v>348</v>
      </c>
      <c r="F16" s="4" t="str">
        <f t="shared" si="0"/>
        <v>vivian.jpg</v>
      </c>
      <c r="G16" t="s">
        <v>366</v>
      </c>
      <c r="H16" t="s">
        <v>351</v>
      </c>
    </row>
    <row r="17" spans="1:8" x14ac:dyDescent="0.35">
      <c r="A17" s="22" t="s">
        <v>315</v>
      </c>
      <c r="B17" t="s">
        <v>252</v>
      </c>
      <c r="C17" t="s">
        <v>283</v>
      </c>
      <c r="D17" t="s">
        <v>347</v>
      </c>
      <c r="E17" t="s">
        <v>348</v>
      </c>
      <c r="F17" s="4" t="str">
        <f t="shared" si="0"/>
        <v>bonteck.jpg</v>
      </c>
      <c r="G17" t="s">
        <v>367</v>
      </c>
      <c r="H17" t="s">
        <v>351</v>
      </c>
    </row>
    <row r="18" spans="1:8" x14ac:dyDescent="0.35">
      <c r="A18" s="22" t="s">
        <v>316</v>
      </c>
      <c r="B18" t="s">
        <v>253</v>
      </c>
      <c r="C18" t="s">
        <v>284</v>
      </c>
      <c r="D18" t="s">
        <v>347</v>
      </c>
      <c r="E18" t="s">
        <v>348</v>
      </c>
      <c r="F18" s="4" t="str">
        <f t="shared" si="0"/>
        <v>chinmee.jpg</v>
      </c>
      <c r="G18" t="s">
        <v>368</v>
      </c>
      <c r="H18" t="s">
        <v>351</v>
      </c>
    </row>
    <row r="19" spans="1:8" x14ac:dyDescent="0.35">
      <c r="A19" s="22" t="s">
        <v>317</v>
      </c>
      <c r="B19" t="s">
        <v>254</v>
      </c>
      <c r="C19" t="s">
        <v>285</v>
      </c>
      <c r="D19" t="s">
        <v>347</v>
      </c>
      <c r="E19" t="s">
        <v>348</v>
      </c>
      <c r="F19" s="4" t="str">
        <f t="shared" si="0"/>
        <v>soonmeng.jpg</v>
      </c>
      <c r="G19" t="s">
        <v>369</v>
      </c>
      <c r="H19" t="s">
        <v>351</v>
      </c>
    </row>
    <row r="20" spans="1:8" x14ac:dyDescent="0.35">
      <c r="A20" s="22" t="s">
        <v>318</v>
      </c>
      <c r="B20" t="s">
        <v>255</v>
      </c>
      <c r="C20" t="s">
        <v>286</v>
      </c>
      <c r="D20" t="s">
        <v>347</v>
      </c>
      <c r="E20" t="s">
        <v>348</v>
      </c>
      <c r="F20" s="4" t="str">
        <f t="shared" si="0"/>
        <v>yuehong.jpg</v>
      </c>
      <c r="G20" t="s">
        <v>370</v>
      </c>
      <c r="H20" t="s">
        <v>351</v>
      </c>
    </row>
    <row r="21" spans="1:8" x14ac:dyDescent="0.35">
      <c r="A21" s="22" t="s">
        <v>319</v>
      </c>
      <c r="B21" t="s">
        <v>256</v>
      </c>
      <c r="C21" t="s">
        <v>287</v>
      </c>
      <c r="D21" t="s">
        <v>347</v>
      </c>
      <c r="E21" t="s">
        <v>348</v>
      </c>
      <c r="F21" s="4" t="str">
        <f t="shared" si="0"/>
        <v>choejang.jpg</v>
      </c>
      <c r="G21" t="s">
        <v>371</v>
      </c>
      <c r="H21" t="s">
        <v>351</v>
      </c>
    </row>
    <row r="22" spans="1:8" x14ac:dyDescent="0.35">
      <c r="A22" s="22" t="s">
        <v>320</v>
      </c>
      <c r="B22" t="s">
        <v>257</v>
      </c>
      <c r="C22" t="s">
        <v>288</v>
      </c>
      <c r="D22" t="s">
        <v>347</v>
      </c>
      <c r="E22" t="s">
        <v>348</v>
      </c>
      <c r="F22" s="4" t="str">
        <f t="shared" si="0"/>
        <v>meichia.jpg</v>
      </c>
      <c r="G22" t="s">
        <v>372</v>
      </c>
      <c r="H22" t="s">
        <v>351</v>
      </c>
    </row>
    <row r="23" spans="1:8" x14ac:dyDescent="0.35">
      <c r="A23" s="22" t="s">
        <v>321</v>
      </c>
      <c r="B23" t="s">
        <v>258</v>
      </c>
      <c r="C23" t="s">
        <v>289</v>
      </c>
      <c r="D23" t="s">
        <v>347</v>
      </c>
      <c r="E23" t="s">
        <v>348</v>
      </c>
      <c r="F23" s="4" t="str">
        <f t="shared" si="0"/>
        <v>gekhee.jpg</v>
      </c>
      <c r="G23" t="s">
        <v>373</v>
      </c>
      <c r="H23" t="s">
        <v>351</v>
      </c>
    </row>
    <row r="24" spans="1:8" x14ac:dyDescent="0.35">
      <c r="A24" s="22" t="s">
        <v>322</v>
      </c>
      <c r="B24" t="s">
        <v>259</v>
      </c>
      <c r="C24" t="s">
        <v>290</v>
      </c>
      <c r="D24" t="s">
        <v>347</v>
      </c>
      <c r="E24" t="s">
        <v>348</v>
      </c>
      <c r="F24" s="4" t="str">
        <f t="shared" si="0"/>
        <v>aimee.jpg</v>
      </c>
      <c r="G24" t="s">
        <v>374</v>
      </c>
      <c r="H24" t="s">
        <v>351</v>
      </c>
    </row>
    <row r="25" spans="1:8" x14ac:dyDescent="0.35">
      <c r="A25" s="22" t="s">
        <v>323</v>
      </c>
      <c r="B25" t="s">
        <v>260</v>
      </c>
      <c r="C25" t="s">
        <v>291</v>
      </c>
      <c r="D25" t="s">
        <v>349</v>
      </c>
      <c r="E25" s="23" t="s">
        <v>350</v>
      </c>
      <c r="F25" s="4" t="str">
        <f t="shared" si="0"/>
        <v>geokchin.jpg</v>
      </c>
      <c r="G25" t="s">
        <v>375</v>
      </c>
      <c r="H25" t="s">
        <v>351</v>
      </c>
    </row>
    <row r="26" spans="1:8" x14ac:dyDescent="0.35">
      <c r="A26" s="22" t="s">
        <v>324</v>
      </c>
      <c r="B26" t="s">
        <v>261</v>
      </c>
      <c r="C26" t="s">
        <v>292</v>
      </c>
      <c r="D26" t="s">
        <v>349</v>
      </c>
      <c r="E26" s="23" t="s">
        <v>350</v>
      </c>
      <c r="F26" s="4" t="str">
        <f t="shared" si="0"/>
        <v>laysiew.jpg</v>
      </c>
      <c r="G26" t="s">
        <v>376</v>
      </c>
      <c r="H26" t="s">
        <v>351</v>
      </c>
    </row>
    <row r="27" spans="1:8" x14ac:dyDescent="0.35">
      <c r="A27" s="22" t="s">
        <v>325</v>
      </c>
      <c r="B27" t="s">
        <v>262</v>
      </c>
      <c r="C27" t="s">
        <v>293</v>
      </c>
      <c r="D27" t="s">
        <v>349</v>
      </c>
      <c r="E27" s="23" t="s">
        <v>350</v>
      </c>
      <c r="F27" s="4" t="str">
        <f t="shared" si="0"/>
        <v>waiyee.jpg</v>
      </c>
      <c r="G27" t="s">
        <v>377</v>
      </c>
      <c r="H27" t="s">
        <v>351</v>
      </c>
    </row>
    <row r="28" spans="1:8" x14ac:dyDescent="0.35">
      <c r="A28" s="22" t="s">
        <v>326</v>
      </c>
      <c r="B28" t="s">
        <v>263</v>
      </c>
      <c r="C28" t="s">
        <v>294</v>
      </c>
      <c r="D28" t="s">
        <v>349</v>
      </c>
      <c r="E28" s="23" t="s">
        <v>350</v>
      </c>
      <c r="F28" s="4" t="str">
        <f t="shared" si="0"/>
        <v>carol.jpg</v>
      </c>
      <c r="G28" t="s">
        <v>378</v>
      </c>
      <c r="H28" t="s">
        <v>351</v>
      </c>
    </row>
    <row r="29" spans="1:8" x14ac:dyDescent="0.35">
      <c r="A29" s="22" t="s">
        <v>327</v>
      </c>
      <c r="B29" t="s">
        <v>264</v>
      </c>
      <c r="C29" t="s">
        <v>295</v>
      </c>
      <c r="D29" t="s">
        <v>349</v>
      </c>
      <c r="E29" s="23" t="s">
        <v>350</v>
      </c>
      <c r="F29" s="4" t="str">
        <f t="shared" si="0"/>
        <v>yokewant.jpg</v>
      </c>
      <c r="G29" t="s">
        <v>379</v>
      </c>
      <c r="H29" t="s">
        <v>351</v>
      </c>
    </row>
    <row r="30" spans="1:8" x14ac:dyDescent="0.35">
      <c r="A30" s="22" t="s">
        <v>328</v>
      </c>
      <c r="B30" t="s">
        <v>265</v>
      </c>
      <c r="C30" t="s">
        <v>296</v>
      </c>
      <c r="D30" t="s">
        <v>349</v>
      </c>
      <c r="E30" s="23" t="s">
        <v>350</v>
      </c>
      <c r="F30" s="4" t="str">
        <f t="shared" si="0"/>
        <v>pohcheng.jpg</v>
      </c>
      <c r="G30" t="s">
        <v>380</v>
      </c>
      <c r="H30" t="s">
        <v>351</v>
      </c>
    </row>
    <row r="31" spans="1:8" x14ac:dyDescent="0.35">
      <c r="A31" s="22" t="s">
        <v>329</v>
      </c>
      <c r="B31" t="s">
        <v>266</v>
      </c>
      <c r="C31" t="s">
        <v>297</v>
      </c>
      <c r="D31" t="s">
        <v>349</v>
      </c>
      <c r="E31" s="23" t="s">
        <v>350</v>
      </c>
      <c r="F31" s="4" t="str">
        <f t="shared" si="0"/>
        <v>geoklan.jpg</v>
      </c>
      <c r="G31" t="s">
        <v>381</v>
      </c>
      <c r="H31" t="s">
        <v>351</v>
      </c>
    </row>
    <row r="32" spans="1:8" x14ac:dyDescent="0.35">
      <c r="A32" s="22" t="s">
        <v>330</v>
      </c>
      <c r="B32" t="s">
        <v>267</v>
      </c>
      <c r="C32" t="s">
        <v>298</v>
      </c>
      <c r="D32" t="s">
        <v>349</v>
      </c>
      <c r="E32" s="23" t="s">
        <v>350</v>
      </c>
      <c r="F32" s="4" t="str">
        <f t="shared" si="0"/>
        <v>laichee.jpg</v>
      </c>
      <c r="G32" t="s">
        <v>382</v>
      </c>
      <c r="H32" t="s">
        <v>351</v>
      </c>
    </row>
    <row r="33" spans="1:8" x14ac:dyDescent="0.35">
      <c r="A33" s="22" t="s">
        <v>331</v>
      </c>
      <c r="B33" t="s">
        <v>268</v>
      </c>
      <c r="C33" t="s">
        <v>299</v>
      </c>
      <c r="D33" t="s">
        <v>349</v>
      </c>
      <c r="E33" s="23" t="s">
        <v>350</v>
      </c>
      <c r="F33" s="4" t="str">
        <f t="shared" si="0"/>
        <v>beechoo.jpg</v>
      </c>
      <c r="G33" t="s">
        <v>383</v>
      </c>
      <c r="H33" t="s">
        <v>351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46325</v>
      </c>
    </row>
    <row r="3" spans="1:2" x14ac:dyDescent="0.35">
      <c r="A3" s="4" t="s">
        <v>36</v>
      </c>
      <c r="B3" s="4" t="s">
        <v>230</v>
      </c>
    </row>
    <row r="4" spans="1:2" x14ac:dyDescent="0.35">
      <c r="A4" t="s">
        <v>188</v>
      </c>
      <c r="B4" t="s">
        <v>189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2026-10-30T15:24:09Z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