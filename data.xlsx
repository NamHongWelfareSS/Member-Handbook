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namhongwelfare.sharepoint.com/sites/General/Shared Documents/namhong/EXCO/Meeting Minutes/EXCO Meeting/Membership Handbook/Mobile Membership Profile/Member Handbook/"/>
    </mc:Choice>
  </mc:AlternateContent>
  <xr:revisionPtr revIDLastSave="1953" documentId="11_A88C884250063A86F00218599B70D26268CCBE65" xr6:coauthVersionLast="47" xr6:coauthVersionMax="47" xr10:uidLastSave="{594CAA58-B530-4E67-B546-7F96A01AAF02}"/>
  <bookViews>
    <workbookView xWindow="-110" yWindow="-110" windowWidth="19420" windowHeight="11500" tabRatio="734" activeTab="1" xr2:uid="{00000000-000D-0000-FFFF-FFFF00000000}"/>
  </bookViews>
  <sheets>
    <sheet name="Instructions" sheetId="1" r:id="rId1"/>
    <sheet name="1_Events" sheetId="5" r:id="rId2"/>
    <sheet name="2_Committee" sheetId="2" r:id="rId3"/>
    <sheet name="3_OfficeBearers" sheetId="3" r:id="rId4"/>
    <sheet name="4_SubCommittees" sheetId="4" r:id="rId5"/>
    <sheet name="5_Employees" sheetId="7" r:id="rId6"/>
    <sheet name="Info" sheetId="6" r:id="rId7"/>
  </sheets>
  <definedNames>
    <definedName name="_xlnm._FilterDatabase" localSheetId="1" hidden="1">'1_Events'!$A$1:$E$135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5" l="1"/>
  <c r="B88" i="5"/>
  <c r="A95" i="5"/>
  <c r="A83" i="5"/>
  <c r="B83" i="5"/>
  <c r="A80" i="5"/>
  <c r="B80" i="5" s="1"/>
  <c r="A91" i="5"/>
  <c r="B91" i="5" s="1"/>
  <c r="A90" i="5"/>
  <c r="B90" i="5" s="1"/>
  <c r="A104" i="5"/>
  <c r="B104" i="5" s="1"/>
  <c r="A94" i="5"/>
  <c r="B94" i="5"/>
  <c r="B95" i="5"/>
  <c r="A115" i="5"/>
  <c r="B115" i="5" s="1"/>
  <c r="A110" i="5"/>
  <c r="B110" i="5" s="1"/>
  <c r="A85" i="5"/>
  <c r="B85" i="5" s="1"/>
  <c r="A84" i="5"/>
  <c r="B84" i="5" s="1"/>
  <c r="A81" i="5"/>
  <c r="B81" i="5" s="1"/>
  <c r="A89" i="5"/>
  <c r="B89" i="5" s="1"/>
  <c r="A96" i="5"/>
  <c r="B96" i="5" s="1"/>
  <c r="A98" i="5"/>
  <c r="B98" i="5" s="1"/>
  <c r="A99" i="5"/>
  <c r="B99" i="5" s="1"/>
  <c r="A97" i="5"/>
  <c r="B97" i="5" s="1"/>
  <c r="A87" i="5"/>
  <c r="B87" i="5" s="1"/>
  <c r="A86" i="5"/>
  <c r="B86" i="5" s="1"/>
  <c r="A13" i="5"/>
  <c r="B13" i="5" s="1"/>
  <c r="A4" i="5"/>
  <c r="B4" i="5" s="1"/>
  <c r="A82" i="5"/>
  <c r="B82" i="5" s="1"/>
  <c r="A35" i="5"/>
  <c r="B35" i="5" s="1"/>
  <c r="A75" i="5"/>
  <c r="B75" i="5" s="1"/>
  <c r="A74" i="5"/>
  <c r="B74" i="5" s="1"/>
  <c r="A66" i="5"/>
  <c r="B66" i="5" s="1"/>
  <c r="A52" i="5"/>
  <c r="B52" i="5" s="1"/>
  <c r="A79" i="5"/>
  <c r="B79" i="5" s="1"/>
  <c r="A78" i="5"/>
  <c r="B78" i="5" s="1"/>
  <c r="A73" i="5"/>
  <c r="B73" i="5" s="1"/>
  <c r="A62" i="5"/>
  <c r="B62" i="5" s="1"/>
  <c r="A59" i="5"/>
  <c r="B59" i="5" s="1"/>
  <c r="A71" i="5"/>
  <c r="B71" i="5" s="1"/>
  <c r="A67" i="5"/>
  <c r="B67" i="5" s="1"/>
  <c r="A57" i="5"/>
  <c r="B57" i="5" s="1"/>
  <c r="A70" i="5"/>
  <c r="B70" i="5" s="1"/>
  <c r="A64" i="5"/>
  <c r="B64" i="5" s="1"/>
  <c r="A69" i="5"/>
  <c r="B69" i="5" s="1"/>
  <c r="A2" i="5"/>
  <c r="B2" i="5" s="1"/>
  <c r="A7" i="5"/>
  <c r="B7" i="5" s="1"/>
  <c r="A6" i="5"/>
  <c r="B6" i="5" s="1"/>
  <c r="A12" i="5"/>
  <c r="B12" i="5" s="1"/>
  <c r="A17" i="5"/>
  <c r="B17" i="5" s="1"/>
  <c r="A19" i="5"/>
  <c r="B19" i="5" s="1"/>
  <c r="A24" i="5"/>
  <c r="B24" i="5" s="1"/>
  <c r="A28" i="5"/>
  <c r="B28" i="5" s="1"/>
  <c r="A27" i="5"/>
  <c r="B27" i="5" s="1"/>
  <c r="A43" i="5"/>
  <c r="B43" i="5" s="1"/>
  <c r="A42" i="5"/>
  <c r="B42" i="5" s="1"/>
  <c r="A93" i="5"/>
  <c r="B93" i="5" s="1"/>
  <c r="A92" i="5"/>
  <c r="B92" i="5" s="1"/>
  <c r="A102" i="5"/>
  <c r="B102" i="5" s="1"/>
  <c r="A101" i="5"/>
  <c r="B101" i="5" s="1"/>
  <c r="A108" i="5"/>
  <c r="B108" i="5" s="1"/>
  <c r="A107" i="5"/>
  <c r="B107" i="5" s="1"/>
  <c r="A106" i="5"/>
  <c r="B106" i="5" s="1"/>
  <c r="A111" i="5"/>
  <c r="B111" i="5" s="1"/>
  <c r="A114" i="5"/>
  <c r="B114" i="5" s="1"/>
  <c r="A117" i="5"/>
  <c r="B117" i="5" s="1"/>
  <c r="A116" i="5"/>
  <c r="B116" i="5" s="1"/>
  <c r="A119" i="5"/>
  <c r="B119" i="5" s="1"/>
  <c r="A126" i="5"/>
  <c r="B126" i="5" s="1"/>
  <c r="A131" i="5"/>
  <c r="B131" i="5" s="1"/>
  <c r="A135" i="5"/>
  <c r="B135" i="5" s="1"/>
  <c r="A56" i="5"/>
  <c r="B56" i="5" s="1"/>
  <c r="A46" i="5"/>
  <c r="B46" i="5" s="1"/>
  <c r="B2" i="6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51" i="5"/>
  <c r="B51" i="5" s="1"/>
  <c r="A65" i="5"/>
  <c r="B65" i="5" s="1"/>
  <c r="A49" i="5"/>
  <c r="B49" i="5" s="1"/>
  <c r="A76" i="5"/>
  <c r="B76" i="5" s="1"/>
  <c r="A68" i="5"/>
  <c r="B68" i="5" s="1"/>
  <c r="A40" i="5"/>
  <c r="B40" i="5" s="1"/>
  <c r="A61" i="5"/>
  <c r="B61" i="5" s="1"/>
  <c r="A38" i="5"/>
  <c r="B38" i="5" s="1"/>
  <c r="A37" i="5"/>
  <c r="B37" i="5" s="1"/>
  <c r="A33" i="5"/>
  <c r="B33" i="5" s="1"/>
  <c r="A31" i="5"/>
  <c r="B31" i="5" s="1"/>
  <c r="A45" i="5"/>
  <c r="B45" i="5" s="1"/>
  <c r="A48" i="5"/>
  <c r="B48" i="5" s="1"/>
  <c r="A72" i="5"/>
  <c r="B72" i="5" s="1"/>
  <c r="A63" i="5"/>
  <c r="B63" i="5" s="1"/>
  <c r="A60" i="5"/>
  <c r="B60" i="5" s="1"/>
  <c r="A55" i="5"/>
  <c r="B55" i="5" s="1"/>
  <c r="A54" i="5"/>
  <c r="B54" i="5" s="1"/>
  <c r="A53" i="5"/>
  <c r="B53" i="5" s="1"/>
  <c r="A50" i="5"/>
  <c r="B50" i="5" s="1"/>
  <c r="A47" i="5"/>
  <c r="B47" i="5" s="1"/>
  <c r="A44" i="5"/>
  <c r="B44" i="5" s="1"/>
  <c r="A41" i="5"/>
  <c r="B41" i="5" s="1"/>
  <c r="A3" i="5"/>
  <c r="B3" i="5" s="1"/>
  <c r="A5" i="5"/>
  <c r="B5" i="5" s="1"/>
  <c r="A8" i="5"/>
  <c r="B8" i="5" s="1"/>
  <c r="A9" i="5"/>
  <c r="B9" i="5" s="1"/>
  <c r="A10" i="5"/>
  <c r="B10" i="5" s="1"/>
  <c r="A11" i="5"/>
  <c r="B11" i="5" s="1"/>
  <c r="A14" i="5"/>
  <c r="B14" i="5" s="1"/>
  <c r="A15" i="5"/>
  <c r="B15" i="5" s="1"/>
  <c r="A16" i="5"/>
  <c r="B16" i="5" s="1"/>
  <c r="A18" i="5"/>
  <c r="B18" i="5" s="1"/>
  <c r="A20" i="5"/>
  <c r="B20" i="5" s="1"/>
  <c r="A21" i="5"/>
  <c r="B21" i="5" s="1"/>
  <c r="A22" i="5"/>
  <c r="B22" i="5" s="1"/>
  <c r="A23" i="5"/>
  <c r="B23" i="5" s="1"/>
  <c r="A25" i="5"/>
  <c r="B25" i="5" s="1"/>
  <c r="A26" i="5"/>
  <c r="B26" i="5" s="1"/>
  <c r="A29" i="5"/>
  <c r="B29" i="5" s="1"/>
  <c r="A30" i="5"/>
  <c r="B30" i="5" s="1"/>
  <c r="A32" i="5"/>
  <c r="B32" i="5" s="1"/>
  <c r="A34" i="5"/>
  <c r="B34" i="5" s="1"/>
  <c r="A36" i="5"/>
  <c r="B36" i="5" s="1"/>
  <c r="A39" i="5"/>
  <c r="B39" i="5" s="1"/>
  <c r="A58" i="5"/>
  <c r="B58" i="5" s="1"/>
  <c r="A77" i="5"/>
  <c r="B77" i="5" s="1"/>
  <c r="A100" i="5"/>
  <c r="B100" i="5" s="1"/>
  <c r="A103" i="5"/>
  <c r="B103" i="5" s="1"/>
  <c r="A105" i="5"/>
  <c r="B105" i="5" s="1"/>
  <c r="A109" i="5"/>
  <c r="B109" i="5" s="1"/>
  <c r="A112" i="5"/>
  <c r="B112" i="5" s="1"/>
  <c r="A113" i="5"/>
  <c r="B113" i="5" s="1"/>
  <c r="A118" i="5"/>
  <c r="B118" i="5" s="1"/>
  <c r="A120" i="5"/>
  <c r="B120" i="5" s="1"/>
  <c r="A121" i="5"/>
  <c r="B121" i="5" s="1"/>
  <c r="A122" i="5"/>
  <c r="B122" i="5" s="1"/>
  <c r="A123" i="5"/>
  <c r="B123" i="5" s="1"/>
  <c r="A124" i="5"/>
  <c r="B124" i="5" s="1"/>
  <c r="A125" i="5"/>
  <c r="B125" i="5" s="1"/>
  <c r="A127" i="5"/>
  <c r="B127" i="5" s="1"/>
  <c r="A128" i="5"/>
  <c r="B128" i="5" s="1"/>
  <c r="A129" i="5"/>
  <c r="B129" i="5" s="1"/>
  <c r="A130" i="5"/>
  <c r="B130" i="5" s="1"/>
  <c r="A132" i="5"/>
  <c r="B132" i="5" s="1"/>
  <c r="A133" i="5"/>
  <c r="B133" i="5" s="1"/>
  <c r="A134" i="5"/>
  <c r="B134" i="5" s="1"/>
</calcChain>
</file>

<file path=xl/sharedStrings.xml><?xml version="1.0" encoding="utf-8"?>
<sst xmlns="http://schemas.openxmlformats.org/spreadsheetml/2006/main" count="1038" uniqueCount="602">
  <si>
    <t>HOW THIS WORKS</t>
  </si>
  <si>
    <t>The handbook webpage reads this file directly. Edit this file, upload it to the GitHub repository</t>
  </si>
  <si>
    <t>(replacing data.xlsx at the same location), and the webpage updates automatically. The link never changes.</t>
  </si>
  <si>
    <t>EDITING RULES</t>
  </si>
  <si>
    <t>1. Edit data rows only. Do NOT rename the sheet tabs or change / reorder the column headers in row 1.</t>
  </si>
  <si>
    <t>2. Yellow rows are SAMPLE rows — replace them with real data, or delete them.</t>
  </si>
  <si>
    <t>3. Photo column: type the exact photo filename, e.g. stanley_lim.jpg. Upload that photo into the</t>
  </si>
  <si>
    <t xml:space="preserve">   'photos' folder in the GitHub repository. If left blank or file missing, initials are shown instead.</t>
  </si>
  <si>
    <t xml:space="preserve">   Recommended: square photos, under 200KB each, filenames in lowercase without spaces.</t>
  </si>
  <si>
    <t>4. 4_Events Date column must be a real Excel date (DD/MM/YYYY). Past events auto-dim on the page;</t>
  </si>
  <si>
    <t xml:space="preserve">   the next upcoming event is highlighted in gold.</t>
  </si>
  <si>
    <t>5. 3_SubCommittees: one row per person per sub-committee. Rows with the same Sub-Committee name are</t>
  </si>
  <si>
    <t xml:space="preserve">   grouped into one collapsible section. A person serving on two sub-committees appears in two rows.</t>
  </si>
  <si>
    <t>6. Order columns control display sequence within each list (1 = top).</t>
  </si>
  <si>
    <t>7. Update 'Last Updated' in the Info sheet each time you publish — it displays in the page header.</t>
  </si>
  <si>
    <t>SHEETS</t>
  </si>
  <si>
    <t>1_Committee — full roster (Tab 1) · 2_OfficeBearers — with photos (Tab 2)</t>
  </si>
  <si>
    <t>3_SubCommittees — collapsible groups (Tab 3) · 4_Events — key dates (Tab 4) · Info — header/footer text</t>
  </si>
  <si>
    <t>No</t>
  </si>
  <si>
    <t>Name (English)</t>
  </si>
  <si>
    <t>Name (中文)</t>
  </si>
  <si>
    <t>Photo</t>
  </si>
  <si>
    <t>Chairman</t>
  </si>
  <si>
    <t>Order</t>
  </si>
  <si>
    <t>Title (English)</t>
  </si>
  <si>
    <t>主席</t>
  </si>
  <si>
    <t>Sub-Committee (English)</t>
  </si>
  <si>
    <t>Sub-Committee (中文)</t>
  </si>
  <si>
    <t>Chairperson</t>
  </si>
  <si>
    <t>Member</t>
  </si>
  <si>
    <t>Date</t>
  </si>
  <si>
    <t>Event (English)</t>
  </si>
  <si>
    <t>Event (中文)</t>
  </si>
  <si>
    <t>Field</t>
  </si>
  <si>
    <t>Value</t>
  </si>
  <si>
    <t>Last Updated</t>
  </si>
  <si>
    <t>Footer Note</t>
  </si>
  <si>
    <t>Cher Kim Seah</t>
  </si>
  <si>
    <t>徐金声</t>
  </si>
  <si>
    <t>Chew Gim Cheong</t>
  </si>
  <si>
    <t>周锦昌</t>
  </si>
  <si>
    <t>Dr Djoni Huang Sian Wei</t>
  </si>
  <si>
    <t>黄献威</t>
  </si>
  <si>
    <t>Goh Hock Kee</t>
  </si>
  <si>
    <t>吴副旗</t>
  </si>
  <si>
    <t>Goh Ken Lai</t>
  </si>
  <si>
    <t>吴建来</t>
  </si>
  <si>
    <t>Heng Poh Chuah (Peter)</t>
  </si>
  <si>
    <t>王宝泉</t>
  </si>
  <si>
    <t>Koh Hock Siong BBM(L)</t>
  </si>
  <si>
    <t>高福祥</t>
  </si>
  <si>
    <t>Koh Keng Guan</t>
  </si>
  <si>
    <t>许庆源</t>
  </si>
  <si>
    <t>Lim Boon Choon (Stanley)</t>
  </si>
  <si>
    <t>林文俊</t>
  </si>
  <si>
    <t>Lim Soi Tee</t>
  </si>
  <si>
    <t>林细弟</t>
  </si>
  <si>
    <t>Mohamad Fitri Bin Mohamad Rashed</t>
  </si>
  <si>
    <t>Dr Muhammad Ilman Bin Mohd Adil</t>
  </si>
  <si>
    <t>Neo Tian Siah</t>
  </si>
  <si>
    <t>梁天城</t>
  </si>
  <si>
    <t>Ng Chuan Seng (Tony)</t>
  </si>
  <si>
    <t>Ng Jie Ying (Cecil) PBM</t>
  </si>
  <si>
    <t>黄洁滢</t>
  </si>
  <si>
    <t>吴荣豪</t>
  </si>
  <si>
    <t>Oh Gek Sim Rosaline</t>
  </si>
  <si>
    <t>胡钰沁</t>
  </si>
  <si>
    <t>Quek Chia Seng</t>
  </si>
  <si>
    <t>郭正成</t>
  </si>
  <si>
    <t>Tan Jun Wei (William)</t>
  </si>
  <si>
    <t>陈浚纬</t>
  </si>
  <si>
    <t>Teo Sim Six (Simon)</t>
  </si>
  <si>
    <t>张森塞</t>
  </si>
  <si>
    <t>Toh Chai Hoon (Veronica)</t>
  </si>
  <si>
    <t>卓彩云</t>
  </si>
  <si>
    <t>Toh Leun Beng (Vincent)</t>
  </si>
  <si>
    <t>卓锐明</t>
  </si>
  <si>
    <t>Wang Kia Peng (Eric)</t>
  </si>
  <si>
    <t>袁加炳</t>
  </si>
  <si>
    <t>Yap Guan Tee</t>
  </si>
  <si>
    <t>叶源弟</t>
  </si>
  <si>
    <t>Zhang YiChao</t>
  </si>
  <si>
    <t>张艺超</t>
  </si>
  <si>
    <t>CherKimSeah.jpg</t>
  </si>
  <si>
    <t>ChewGimCheong.jpg</t>
  </si>
  <si>
    <t>GohHockKee.jpg</t>
  </si>
  <si>
    <t>GohKenLai.jpg</t>
  </si>
  <si>
    <t>KohKengGuan.jpg</t>
  </si>
  <si>
    <t>LimSoiTee.jpg</t>
  </si>
  <si>
    <t>NeoTianSiah.jpg</t>
  </si>
  <si>
    <t>QuekChiaSeng.jpg</t>
  </si>
  <si>
    <t>YapGuanTee.jpg</t>
  </si>
  <si>
    <t>ZhangYiChao.jpg</t>
  </si>
  <si>
    <t>Djoni.jpg</t>
  </si>
  <si>
    <t>Fitri.jpg</t>
  </si>
  <si>
    <t>Peter.jpg</t>
  </si>
  <si>
    <t>Tony.jpg</t>
  </si>
  <si>
    <t>William.jpg</t>
  </si>
  <si>
    <t>Simon.jpg</t>
  </si>
  <si>
    <t>Vincent.jpg</t>
  </si>
  <si>
    <t>Eric.jpg</t>
  </si>
  <si>
    <t>KohHockSiong.jpg</t>
  </si>
  <si>
    <t>Ilman.jpg</t>
  </si>
  <si>
    <t>Cecil.jpg</t>
  </si>
  <si>
    <t>Lawrence.jpg</t>
  </si>
  <si>
    <t>Rosaline.jpg</t>
  </si>
  <si>
    <t>Veron.jpg</t>
  </si>
  <si>
    <t>第一副会长</t>
  </si>
  <si>
    <t>Vice Chairman</t>
  </si>
  <si>
    <t>Vice Chairman Committee</t>
  </si>
  <si>
    <t>Stanley.jpg</t>
  </si>
  <si>
    <t>Secretary</t>
  </si>
  <si>
    <t>Vice Secretary</t>
  </si>
  <si>
    <t>Treasurer</t>
  </si>
  <si>
    <t>Vice Treasurer</t>
  </si>
  <si>
    <t>秘书</t>
  </si>
  <si>
    <t>副秘书</t>
  </si>
  <si>
    <t>财政</t>
  </si>
  <si>
    <t>副财政</t>
  </si>
  <si>
    <t>Day</t>
  </si>
  <si>
    <t>CNY Ration + Ang Bao Giving to AMS Beneficiaries</t>
  </si>
  <si>
    <t>Programme</t>
  </si>
  <si>
    <t>Ahmad Ibrahim CNY Engagement</t>
  </si>
  <si>
    <t>华报善堂 50 pax Elderly Engagement</t>
  </si>
  <si>
    <t>Partnership/CSR</t>
  </si>
  <si>
    <t>Elderly Outing (Chloe's Volunteer)</t>
  </si>
  <si>
    <t>Hari Raya Puasa Ang Pao Distribution (AMS Muslims)</t>
  </si>
  <si>
    <t>Hari Raya Puasa Lunch</t>
  </si>
  <si>
    <t>Health Talk by TCM Physician</t>
  </si>
  <si>
    <t>Governance</t>
  </si>
  <si>
    <t>AGM &amp; Election of 10th Term Management Committee</t>
  </si>
  <si>
    <t>Fundraising</t>
  </si>
  <si>
    <t>AISS Engagement and Registration for Funerary Portrait Taking</t>
  </si>
  <si>
    <t>Shine Dragon Boat Dumpling Festival Celebration</t>
  </si>
  <si>
    <t>Information</t>
  </si>
  <si>
    <t>New Year Ration Event (501 beneficiaries; Minister K Shanmugam attended)</t>
  </si>
  <si>
    <t>新年物资派发活动（501名受惠者，尚穆根部长出席）</t>
  </si>
  <si>
    <t>农历新年物资及红包派发（AMS受惠者）</t>
  </si>
  <si>
    <t>CNY Dinner for 500 Elderly</t>
  </si>
  <si>
    <t>500位乐龄人士新春晚宴</t>
  </si>
  <si>
    <t>阿末依布拉欣新春交流活动</t>
  </si>
  <si>
    <t>华报善堂50人乐龄交流活动</t>
  </si>
  <si>
    <t>乐龄户外活动（Chloe义工队）</t>
  </si>
  <si>
    <t>开斋节红包派发（AMS穆斯林受惠者）</t>
  </si>
  <si>
    <t>开斋节午宴</t>
  </si>
  <si>
    <t>By-election of Office Bearers (10th Term)</t>
  </si>
  <si>
    <t>第十届职员补选</t>
  </si>
  <si>
    <t>25th Anniversary Charity Dinner, Golf @ Orchid Country Club, Magazine Launch</t>
  </si>
  <si>
    <t>10th Term Management Committee Sworn In</t>
  </si>
  <si>
    <t>AISS交流活动暨寿像拍摄登记</t>
  </si>
  <si>
    <t>Vesak Day Fundraising (Ubin Thai) – Day 1</t>
  </si>
  <si>
    <t>卫塞节筹款（Ubin Thai）第一天</t>
  </si>
  <si>
    <t>Vesak Day Fundraising (Ubin Thai) – Day 2</t>
  </si>
  <si>
    <t>卫塞节筹款（Ubin Thai）第二天</t>
  </si>
  <si>
    <t>Vesak Day Fundraising (Ubin Thai) – Day 3</t>
  </si>
  <si>
    <t>卫塞节筹款（Ubin Thai）第三天</t>
  </si>
  <si>
    <t>Vesak Day Fundraising (Ubin Thai) – Day 4</t>
  </si>
  <si>
    <t>卫塞节筹款（Ubin Thai）第四天</t>
  </si>
  <si>
    <t>端午节粽子庆祝活动</t>
  </si>
  <si>
    <t>Morgan Stanley CSR + Funerary Portrait Taking</t>
  </si>
  <si>
    <t>摩根士丹利企业社会责任活动暨寿像拍摄</t>
  </si>
  <si>
    <t>TFE物资派发（140人）</t>
  </si>
  <si>
    <t>卫理公会福利服务家庭服务中心家庭健康日（展位）</t>
  </si>
  <si>
    <t>正罡玄门中秋物资派发（200人）</t>
  </si>
  <si>
    <t>Title (Chinese)</t>
  </si>
  <si>
    <t>[Tentative] Sponsor a HUG Campaign (Physical Launch Closer to Christmas)</t>
  </si>
  <si>
    <t>[Tentative] CNY Ration + Ang Bao</t>
  </si>
  <si>
    <t>[Tentative] CSR Partnership – Corporate / School</t>
  </si>
  <si>
    <t>[Tentative] Hari Raya Puasa Ang Pao Distribution + Goodie Bag + Lunch</t>
  </si>
  <si>
    <t>[Tentative] Vesak Day Fundraising (Ubin Thai) – Day 1</t>
  </si>
  <si>
    <t>[Tentative] Vesak Day Fundraising (Ubin Thai) – Day 2</t>
  </si>
  <si>
    <t>[Tentative] Vesak Day Fundraising (Ubin Thai) – Day 3</t>
  </si>
  <si>
    <t>[Tentative] Dragon Boat Festival Event (Actual Day 9 June)</t>
  </si>
  <si>
    <t>[Tentative] CSR Partnership – Corporate / School (National Day Celebration)</t>
  </si>
  <si>
    <t>[Tentative] 7th Month Fundraising Period (Actual Day 16 Aug, covering 2–30 Aug)</t>
  </si>
  <si>
    <t>[Tentative] Charity Concert</t>
  </si>
  <si>
    <t>Dr Ngi Ing Hou Lawrence</t>
  </si>
  <si>
    <t>Medical Committee</t>
  </si>
  <si>
    <t>医药组</t>
  </si>
  <si>
    <t>Activity Committee</t>
  </si>
  <si>
    <t>活动组</t>
  </si>
  <si>
    <t>Caring Heart Committee</t>
  </si>
  <si>
    <t>爱心关怀组</t>
  </si>
  <si>
    <t>Fund Raising Committee</t>
  </si>
  <si>
    <t>募捐组</t>
  </si>
  <si>
    <t>Volunteer Committee</t>
  </si>
  <si>
    <t>义工组</t>
  </si>
  <si>
    <t>Audit/Compliance Committee</t>
  </si>
  <si>
    <t>审查组</t>
  </si>
  <si>
    <t>Public Relations Committee</t>
  </si>
  <si>
    <t>公关组</t>
  </si>
  <si>
    <t>Password to open mobile page</t>
  </si>
  <si>
    <t>NHWSS2026</t>
  </si>
  <si>
    <t>Naval Base Secondary School Outing</t>
  </si>
  <si>
    <t>海军部中学户外活动</t>
  </si>
  <si>
    <t>[未确认] 「认捐拥抱・温暖长者」慈善运动（圣诞前实体推介）</t>
  </si>
  <si>
    <t>[未确认] 新年物资派发</t>
  </si>
  <si>
    <t>[未确认] 农历新年物资及红包派发</t>
  </si>
  <si>
    <t>[未确认] 企业／学校社会责任合作</t>
  </si>
  <si>
    <t>[未确认] 开斋节红包及礼包派发暨午宴</t>
  </si>
  <si>
    <t>[未确认] 卫塞节筹款（Ubin Thai）第一天</t>
  </si>
  <si>
    <t>[未确认] 卫塞节筹款（Ubin Thai）第二天</t>
  </si>
  <si>
    <t>[未确认] 卫塞节筹款（Ubin Thai）第三天</t>
  </si>
  <si>
    <t>[未确认] 端午节活动（实际节日为6月9日）</t>
  </si>
  <si>
    <t>[未确认] 企业／学校社会责任合作（国庆庆祝）</t>
  </si>
  <si>
    <t>[未确认] 七月筹款期（实际日期8月16日，涵盖8月2日至30日）</t>
  </si>
  <si>
    <t>[未确认] 慈善演唱会</t>
  </si>
  <si>
    <t>山顶师城杨艺中元会 (代表：梁天城, Kathy, Jin Hoa）</t>
  </si>
  <si>
    <t>元龙聖庙（关帝聖君兴诸众神诞）(代表：徐金声, Agnes, Bryan, Kathy, Jin Hoa）。筹款活动包括义标。</t>
  </si>
  <si>
    <t>Asiatic Fire System CSR National Day Celebration (130 pax)</t>
  </si>
  <si>
    <t>Asiatic Fire System企业社会责任国庆庆祝会（130人）</t>
  </si>
  <si>
    <t>中医保健养生讲座 - 人老腿先衰</t>
  </si>
  <si>
    <t>中医保健养生讲座 - 动养生 食养命</t>
  </si>
  <si>
    <t>中医保健养生讲座 - 中药茶饮</t>
  </si>
  <si>
    <t>南凤善堂中元会晚宴（200人）</t>
  </si>
  <si>
    <t>咖啡老友，大牌110咖啡店，早上8点30分至9点30分</t>
  </si>
  <si>
    <t>Kopi Kaki session at Blk 110 coffee shop, 830am to 930am</t>
  </si>
  <si>
    <t>[Tentative] New Year Ration. Wishing Tree</t>
  </si>
  <si>
    <t>Temple</t>
  </si>
  <si>
    <t>Fundraising, Partnership/CSR</t>
  </si>
  <si>
    <t>[Tentative] CNY Dinner – CSR (JustCo or MS Project) – either 18 Feb or 19 Feb</t>
  </si>
  <si>
    <t>[未确认] 新春晚宴 – 企业社会责任（JustCo或MS项目）二月18日或二月19日</t>
  </si>
  <si>
    <t xml:space="preserve">Temple Dinner - 元龙聖庙（关帝聖君兴诸众神诞）(Representative: Cher Kim Seah, Agnes, Bryan, Kathy, Jin Hoa - all to arrive by 7pm). Auction item included. </t>
  </si>
  <si>
    <t>Chong Pang 61st National Day Dinner 2026, 7-10pm at Chong Pang 165 Hardcourt. (Representative: William Tan, Bill Tan - all to arrive by 7pm)</t>
  </si>
  <si>
    <t>Lunar July (ZhongYuan Festival) - Jurong Safra Pearl Garden Restaurant (Representative: Neo Tian Siah, Kathy, Jin Hoa - all to arrive by 7pm)</t>
  </si>
  <si>
    <t>North West District Meeting and Council Appointment Ceremony 2026. 6pm-9pm. (Representative: Jin Hoa)</t>
  </si>
  <si>
    <t>Govt. Agency Invitation</t>
  </si>
  <si>
    <t>Building Nee Soon Together | Invitation to Dialogue Session</t>
  </si>
  <si>
    <t>Building Nee Soon Together | Invitation to Dialogue Session. Location: Nee Soon South Community Club (30 Yishun Street 81, Singapore 768455). Format: Dialogue with Mr K. Shanmugam, Senior Minister, Coordinating Minister for National Security, Minister for Home Affairs and Advisors to Nee Soon GRC’s GROS. 3 to 6pm. (Representative: Stanley, Jin Hoa)</t>
  </si>
  <si>
    <t>NHWSS COMMITTEE HANDBOOK — DATA FILE  南凤福利协会理事手册数据文件</t>
  </si>
  <si>
    <t>常年会员大会暨第十届管理理事会选举</t>
  </si>
  <si>
    <t>第十届管理理事会宣誓就职</t>
  </si>
  <si>
    <t>副会长理事</t>
  </si>
  <si>
    <t>南凤福利协会 Nam Hong Welfare Service Society · For committee members reference 仅供理事参考</t>
  </si>
  <si>
    <t>Lunar July (ZhongYuan Festival) - 7 Gambas Crescent, ARK@Gambas Level 2 (Representative: Doran, Pei Yuen, Chi Hwee, Agnes - all to arrive by 7pm)</t>
  </si>
  <si>
    <t>方舟@岗巴士中元会 (代表：Doran, Pei Yuen, Chi Hwee, Agnes）</t>
  </si>
  <si>
    <t>[Tentative] CSR Partnership – Corporate / School - Singapore Flyer (suggestion)</t>
  </si>
  <si>
    <t>南凤慈济慈善演唱会2026</t>
  </si>
  <si>
    <t>黄泉盛</t>
  </si>
  <si>
    <t>Wong Jin Hoa</t>
  </si>
  <si>
    <t>黄子豪</t>
  </si>
  <si>
    <t>Kathy Koh</t>
  </si>
  <si>
    <t>Aceline Wong</t>
  </si>
  <si>
    <t>Agnes Lew</t>
  </si>
  <si>
    <t>Bryan Cheo</t>
  </si>
  <si>
    <t>Chan Yin Yee</t>
  </si>
  <si>
    <t>Xu Jingyi</t>
  </si>
  <si>
    <t>Lim Chi Hwee</t>
  </si>
  <si>
    <t>Crystal Lee</t>
  </si>
  <si>
    <t>Cheng Pei Yuen</t>
  </si>
  <si>
    <t>Doran Hooi</t>
  </si>
  <si>
    <t>Alicia Lee</t>
  </si>
  <si>
    <t>Cheong Keong Eng</t>
  </si>
  <si>
    <t>Eh Siok Teng</t>
  </si>
  <si>
    <t>Vivian Goh</t>
  </si>
  <si>
    <t>Lee Bon Teck</t>
  </si>
  <si>
    <t>Leong Chin Mee</t>
  </si>
  <si>
    <t>Low Soon Meng</t>
  </si>
  <si>
    <t>Lu Yuehong</t>
  </si>
  <si>
    <t>Ong Choe Jang</t>
  </si>
  <si>
    <t>Puah Mei Chia</t>
  </si>
  <si>
    <t>Tan Gek Hee</t>
  </si>
  <si>
    <t>Yap Ai Mee</t>
  </si>
  <si>
    <t>Ang Geok Chin</t>
  </si>
  <si>
    <t>Ang Lay Siew</t>
  </si>
  <si>
    <t>Chung Wai Yee</t>
  </si>
  <si>
    <t>Carol Lim</t>
  </si>
  <si>
    <t>Low Yoke Want</t>
  </si>
  <si>
    <t>Ng Poh Cheng</t>
  </si>
  <si>
    <t>Sam Geok Lan</t>
  </si>
  <si>
    <t>Wong Lai Chee</t>
  </si>
  <si>
    <t>Woo Bee Choo</t>
  </si>
  <si>
    <t>许玉鵰</t>
  </si>
  <si>
    <t>黄馨仪</t>
  </si>
  <si>
    <t>刘秀亮</t>
  </si>
  <si>
    <t>朱展弘</t>
  </si>
  <si>
    <t>曾燕仪</t>
  </si>
  <si>
    <t>许静仪</t>
  </si>
  <si>
    <t>林子惠</t>
  </si>
  <si>
    <t>李恩慧</t>
  </si>
  <si>
    <t>曾琣云</t>
  </si>
  <si>
    <t>许健辉</t>
  </si>
  <si>
    <t>李恩菁</t>
  </si>
  <si>
    <t>钟秉融</t>
  </si>
  <si>
    <t>余淑婷</t>
  </si>
  <si>
    <t>吴泋瑮</t>
  </si>
  <si>
    <t>李文德</t>
  </si>
  <si>
    <t>梁芷维</t>
  </si>
  <si>
    <t>刘顺明</t>
  </si>
  <si>
    <t>鹿月红</t>
  </si>
  <si>
    <t>翁楚璋</t>
  </si>
  <si>
    <t>潘媚佳</t>
  </si>
  <si>
    <t>陈玉枝</t>
  </si>
  <si>
    <t>叶艾美</t>
  </si>
  <si>
    <t>洪玉珍</t>
  </si>
  <si>
    <t>洪丽銹</t>
  </si>
  <si>
    <t>曾惠仪</t>
  </si>
  <si>
    <t>林语晴</t>
  </si>
  <si>
    <t>刘玉云</t>
  </si>
  <si>
    <t>黄宝清</t>
  </si>
  <si>
    <t>岑玉兰</t>
  </si>
  <si>
    <t>黄丽珠</t>
  </si>
  <si>
    <t>吴美珠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</si>
  <si>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</si>
  <si>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</si>
  <si>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</si>
  <si>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</si>
  <si>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</si>
  <si>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</si>
  <si>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</si>
  <si>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</si>
  <si>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</si>
  <si>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</si>
  <si>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</si>
  <si>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</si>
  <si>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</si>
  <si>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</si>
  <si>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</si>
  <si>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</si>
  <si>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</si>
  <si>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</si>
  <si>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</si>
  <si>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</si>
  <si>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</si>
  <si>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</si>
  <si>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</si>
  <si>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</si>
  <si>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</si>
  <si>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</si>
  <si>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</si>
  <si>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</si>
  <si>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</si>
  <si>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</si>
  <si>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</si>
  <si>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</si>
  <si>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Executive Director</t>
  </si>
  <si>
    <t>执行董事</t>
  </si>
  <si>
    <t>Assistant General Manager</t>
  </si>
  <si>
    <t>副经理</t>
  </si>
  <si>
    <t>Accountant</t>
  </si>
  <si>
    <t>会计</t>
  </si>
  <si>
    <t>Donor Caring Officer</t>
  </si>
  <si>
    <t>Fundraising &amp; Events Officer</t>
  </si>
  <si>
    <t>Caring Heart Officer</t>
  </si>
  <si>
    <t>Marketing Communication Executive</t>
  </si>
  <si>
    <t>Events And Social Media Officer</t>
  </si>
  <si>
    <t>Team Officer (HR/Finance/Admin)</t>
  </si>
  <si>
    <t>Team Officer (TCM/Caring Heart)</t>
  </si>
  <si>
    <t>Team Officer (Communication/Event)</t>
  </si>
  <si>
    <t>Team Officer (Finance/IT/Board)</t>
  </si>
  <si>
    <t>TCM Physician</t>
  </si>
  <si>
    <t>医师</t>
  </si>
  <si>
    <t>TCM Clinic Assistant</t>
  </si>
  <si>
    <t>诊所助理</t>
  </si>
  <si>
    <t>.jpg</t>
  </si>
  <si>
    <t>jinhoa</t>
  </si>
  <si>
    <t>kathy</t>
  </si>
  <si>
    <t>aceline</t>
  </si>
  <si>
    <t>agnes</t>
  </si>
  <si>
    <t>bryan</t>
  </si>
  <si>
    <t>yinyee</t>
  </si>
  <si>
    <t>jingyi</t>
  </si>
  <si>
    <t>chihwee</t>
  </si>
  <si>
    <t>crystal</t>
  </si>
  <si>
    <t>peiyuen</t>
  </si>
  <si>
    <t>doran</t>
  </si>
  <si>
    <t>alicia</t>
  </si>
  <si>
    <t>keongeng</t>
  </si>
  <si>
    <t>siokteng</t>
  </si>
  <si>
    <t>vivian</t>
  </si>
  <si>
    <t>bonteck</t>
  </si>
  <si>
    <t>chinmee</t>
  </si>
  <si>
    <t>soonmeng</t>
  </si>
  <si>
    <t>yuehong</t>
  </si>
  <si>
    <t>choejang</t>
  </si>
  <si>
    <t>meichia</t>
  </si>
  <si>
    <t>gekhee</t>
  </si>
  <si>
    <t>aimee</t>
  </si>
  <si>
    <t>geokchin</t>
  </si>
  <si>
    <t>laysiew</t>
  </si>
  <si>
    <t>waiyee</t>
  </si>
  <si>
    <t>carol</t>
  </si>
  <si>
    <t>yokewant</t>
  </si>
  <si>
    <t>pohcheng</t>
  </si>
  <si>
    <t>geoklan</t>
  </si>
  <si>
    <t>laichee</t>
  </si>
  <si>
    <t>beechoo</t>
  </si>
  <si>
    <t>calendar</t>
  </si>
  <si>
    <t>New Year Ration</t>
  </si>
  <si>
    <t>Shine Dragon Boat</t>
  </si>
  <si>
    <t>Temple Dinner - 元龙聖庙</t>
  </si>
  <si>
    <t>CNY Ration</t>
  </si>
  <si>
    <t>CNY Dinner</t>
  </si>
  <si>
    <t>Elderly Outing</t>
  </si>
  <si>
    <t>Health Talk</t>
  </si>
  <si>
    <t>School - Ahmad Ibrahim</t>
  </si>
  <si>
    <t>华报善堂</t>
  </si>
  <si>
    <t>Kopi Kaki</t>
  </si>
  <si>
    <t>Hari Raya Lunch</t>
  </si>
  <si>
    <t>Hari Raya Ang Pao</t>
  </si>
  <si>
    <t>Ubin Thai</t>
  </si>
  <si>
    <t>By-election</t>
  </si>
  <si>
    <t>25th Anniversary</t>
  </si>
  <si>
    <t>AGM</t>
  </si>
  <si>
    <t>Members sworn-in</t>
  </si>
  <si>
    <t>Corporate - AISS, Funerary portriat</t>
  </si>
  <si>
    <t>Corporate - Morgan Stanley, Funerary Portrait</t>
  </si>
  <si>
    <t>School - Naval Base</t>
  </si>
  <si>
    <t>Corporate - Asistic Fire System</t>
  </si>
  <si>
    <t>中元会 - Blk 139</t>
  </si>
  <si>
    <t>中元会 - YS One</t>
  </si>
  <si>
    <t>Chong Pang 61st National Day Dinner</t>
  </si>
  <si>
    <t>Corporate - TFE</t>
  </si>
  <si>
    <t>中元会 - Blk 724</t>
  </si>
  <si>
    <t>中元会 - ARK@Gambas</t>
  </si>
  <si>
    <t>中元会 - Blk 561</t>
  </si>
  <si>
    <t>中元会 - Jurong Safra</t>
  </si>
  <si>
    <t>中元会 - Blk 104</t>
  </si>
  <si>
    <t>MWS Family Wellness</t>
  </si>
  <si>
    <t>中元会 - 南凤善堂</t>
  </si>
  <si>
    <t>中元会 - Blk 838</t>
  </si>
  <si>
    <t>North West District Meeting</t>
  </si>
  <si>
    <t>Corporate - Wee Guan</t>
  </si>
  <si>
    <t>Nee Soon CC dialogue with MP</t>
  </si>
  <si>
    <t>Charity Concert</t>
  </si>
  <si>
    <t>九皇爷</t>
  </si>
  <si>
    <t>CSR Partnership</t>
  </si>
  <si>
    <t>Deepavali Ang Pao</t>
  </si>
  <si>
    <t>Corporate - MS Project</t>
  </si>
  <si>
    <t>Sponsor a HUG</t>
  </si>
  <si>
    <t>7th Month Fundraising</t>
  </si>
  <si>
    <t>Dragon Board Festival</t>
  </si>
  <si>
    <t>2026年忠邦第61届国庆晚宴，晚上7点至10点。（代表：陈浚纬, Bill Tan）</t>
  </si>
  <si>
    <t>忠邦，健康之歌。 八月二十九日，早上9点30分至中午12点30分。医师梁芷维健康讲座 - 动养生，食养命。</t>
  </si>
  <si>
    <t>Staff training by UOB : Will Writing by Mr Patrick Chang</t>
  </si>
  <si>
    <t>Staff Training - Will writing</t>
  </si>
  <si>
    <t>员工培训： 遗嘱规划</t>
  </si>
  <si>
    <t>[Tentative] CSR Partnership - Corporate (Will writing talk by Mr Partrick Chang)</t>
  </si>
  <si>
    <t>[未确认]  企业社会责任合作 - 遗嘱规划讲座</t>
  </si>
  <si>
    <t>Corporate - Wellness Talk (Will writing)</t>
  </si>
  <si>
    <t>Lunar July (ZhongYuan Festival) - 724 Yishun Street 71 (Representative: Chew Kim Cheong, Bryan, 丽菁, 丽丝和先生 - all to arrive by 7pm)</t>
  </si>
  <si>
    <t>717 商店中元会 (代表：周锦昌, Bryan, 丽菁, 丽丝和先生）</t>
  </si>
  <si>
    <t>TFE Ration Distribution (140 pax). (In charge: Bryan)</t>
  </si>
  <si>
    <t>Songs of Health. Chong Pang Zone. Blk 108, Yishun Ring Road #01-301. 9.30am to 12.30pm (Representative: Physician Leong Chin Mee - Health Talk). (In charge: Bryan)</t>
  </si>
  <si>
    <t>Nam Hong Charity Concert 2026 (Location: Tzu Chi Humanistic Youth Centre). (In charge: Bryan, Chi Hwee)</t>
  </si>
  <si>
    <t>[Tentative] Sponsor a HUG Campaign (Physical Launch Closer to Christmas). (In charge: Chi Hwee, Jin Hoa)</t>
  </si>
  <si>
    <t>Lunar July (ZhongYuan Festival) - Nam Hong Siang Theon dinner for NHWSS elderly (200 pax) - all to arrive by 7pm</t>
  </si>
  <si>
    <t>义顺镇商贩联合中元会歌台 (代表：徐金声, Doran, Pei Yuen）</t>
  </si>
  <si>
    <t>Lunar July (ZhongYuan Festival) - 104 Yishun Ring Road - Ge-Tai (Representative: Cher Kim Seah, Doran, Pei Yuen - all to arrive by 7pm)</t>
  </si>
  <si>
    <t>Christmas Day (Public Holiday)</t>
  </si>
  <si>
    <t>圣诞节（公共假期）</t>
  </si>
  <si>
    <t>Public Holiday</t>
  </si>
  <si>
    <t>Deepavali (Public Holiday)</t>
  </si>
  <si>
    <t>屠妖节（公共假期）</t>
  </si>
  <si>
    <t>National Day (Public Holiday)</t>
  </si>
  <si>
    <t>国庆日（公共假期）</t>
  </si>
  <si>
    <t>Vesak Day (Public Holiday)</t>
  </si>
  <si>
    <t>卫塞节（公共假期）</t>
  </si>
  <si>
    <t>Labour Day (Public Holiday)</t>
  </si>
  <si>
    <t>劳动节（公共假期）</t>
  </si>
  <si>
    <t>[Tentative] Hari Raya Haji (Public Holiday) - date subject to sighting of the moon</t>
  </si>
  <si>
    <t>[未确认] 哈芝节（公共假期）－日期以观月为准</t>
  </si>
  <si>
    <t>Public Holiday, Tentative</t>
  </si>
  <si>
    <t>Good Friday (Public Holiday)</t>
  </si>
  <si>
    <t>耶稣受难日（公共假期）</t>
  </si>
  <si>
    <t>[Tentative] Hari Raya Puasa (Public Holiday) - date subject to sighting of the moon</t>
  </si>
  <si>
    <t>[未确认] 开斋节（公共假期）－日期以观月为准</t>
  </si>
  <si>
    <t>Chinese New Year Day 1 (Public Holiday)</t>
  </si>
  <si>
    <t>农历新年第一天（公共假期）</t>
  </si>
  <si>
    <t>Chinese New Year Day 2 (Public Holiday)</t>
  </si>
  <si>
    <t>农历新年第二天（公共假期）</t>
  </si>
  <si>
    <t>Public Holiday in Lieu of Chinese New Year Day 2 (falls on Sunday)</t>
  </si>
  <si>
    <t>农历新年第二天补假（适逢星期日）</t>
  </si>
  <si>
    <t>New Year's Day (Public Holiday)</t>
  </si>
  <si>
    <t>元旦（公共假期）</t>
  </si>
  <si>
    <t>Public Holiday in Lieu of Deepavali (falls on Sunday)</t>
  </si>
  <si>
    <t>屠妖节补假（适逢星期日）</t>
  </si>
  <si>
    <t>Public Holiday in Lieu of National Day (falls on Sunday)</t>
  </si>
  <si>
    <t>国庆日补假（适逢星期日）</t>
  </si>
  <si>
    <t>Public Holiday in Lieu of Vesak Day (falls on Sunday)</t>
  </si>
  <si>
    <t>卫塞节补假（适逢星期日）</t>
  </si>
  <si>
    <t>New Year's Day</t>
  </si>
  <si>
    <t>Chinese New Year</t>
  </si>
  <si>
    <t>Hari Raya Puasa</t>
  </si>
  <si>
    <t>Good Friday</t>
  </si>
  <si>
    <t>Labour Day</t>
  </si>
  <si>
    <t>Hari Raya Haji</t>
  </si>
  <si>
    <t>Vesak Day</t>
  </si>
  <si>
    <t>Vesak Day in lieu</t>
  </si>
  <si>
    <t>National Day</t>
  </si>
  <si>
    <t>National Day in lieu</t>
  </si>
  <si>
    <t>Deepavali</t>
  </si>
  <si>
    <t>Deepavali in lieu</t>
  </si>
  <si>
    <t>Christmas Day</t>
  </si>
  <si>
    <t>CNY in lieu</t>
  </si>
  <si>
    <t>Hari Raya Haji (Public Holiday) - date subject to sighting of the moon</t>
  </si>
  <si>
    <t>哈芝节（公共假期）－日期以观月为准</t>
  </si>
  <si>
    <t>Lunar July (ZhongYuan Festival) - YS ONE, 1 Yishun Street 23 (Representative: Cher Kim Seah, Pay Chin Kim, Bryan, 丽菁, 丽丝和先生 - all to arrive by 7pm)</t>
  </si>
  <si>
    <t>YS ONE 中元会&amp; 歌台 (代表：徐金声，白金荣，Bryan, 丽菁, 丽丝和先生）</t>
  </si>
  <si>
    <t>Charity Concert - Tech Run (Location: Tzu Chi Humanistic Youth Centre)</t>
  </si>
  <si>
    <t>Charity Concert - Tech Run</t>
  </si>
  <si>
    <t>Leaving a Legacy (online training)</t>
  </si>
  <si>
    <t>Dignity photo shoot - home visit. (Representative: Eric Wang, Yin Yee, Bryan). 10am - 4pm</t>
  </si>
  <si>
    <t>Dignity Photo Shoot</t>
  </si>
  <si>
    <t>寿像拍摄。 (代表：袁加炳，Yin Yee, Bryan）</t>
  </si>
  <si>
    <t>Lunar July (ZhongYuan Festival) - Block 139 Yishun Ring Road (Representative: Cher Kim Seah, 梁医师, Yin Yee, Kathy - all to arrive by 7pm). Auction item included.</t>
  </si>
  <si>
    <t>大牌139中元会 (代表：徐金声,梁医师, Yin Yee, Kathy）。筹款活动包括义标。</t>
  </si>
  <si>
    <t>Lunar July (ZhongYuan Festival) - 561 Yishun Ring Road (Representative: Cher Kim Seah,Chi Hwee, Yin Yee, Agnes - all to arrive by 7pm). Auction item included.</t>
  </si>
  <si>
    <t>华报善堂中元会 (代表：徐金声, Chi Hwee, Yin Yee, Agnes, Jin Hoa）。筹款活动包括义标。</t>
  </si>
  <si>
    <t>Lunar July (ZhongYuan Festival) - 104 Yishun Ring Road (Representative: Cher Kim Seah, Pei Yuen, Yin Yee - all to arrive by 7pm)</t>
  </si>
  <si>
    <t>义顺镇商贩联合中元会 (代表：徐金声, Pei Yuen, Yin Yee)</t>
  </si>
  <si>
    <t>Mayor's Network @ North West</t>
  </si>
  <si>
    <t>Mayor's Network @ North West with SSA, 930am - 12.15pm (Representative: Jin Hoa)</t>
  </si>
  <si>
    <t>Charity Walk 2027 (site visit at Mandai)</t>
  </si>
  <si>
    <t>中元会 - 南凤善堂 (200 位年长者)</t>
  </si>
  <si>
    <t>与医药顾问会议：洪两 博士，下午2点</t>
  </si>
  <si>
    <t>Meeting with Medical Advisor, Dr Ang Liang at Nam Hong Medical Centre, 2pm.</t>
  </si>
  <si>
    <t>Meeting Dr Ang Liang 与 洪两博士 开会</t>
  </si>
  <si>
    <t>Wee Guan Construction CSR Mental Health Day (80 pax). 50 volunteers. Buffet, activities, goodie bag. 9am to 1pm. (In charge: Chi Hwee, Jin Hoa)</t>
  </si>
  <si>
    <t>Wee Guan Construction 企业社会责任（80人）</t>
  </si>
  <si>
    <t>Integrative Chinese &amp; Western Medicine Model of Care Symposium</t>
  </si>
  <si>
    <t>“Bridging Traditions, Advancing Care:  An Integrative Chinese &amp; Western Medicine Model of Care Symposium 8.30am-1pm, Ng Teng Fong Centre for Healthcare innocation, Level 4 Auditorium (Representative: Kathy)</t>
  </si>
  <si>
    <t>Kampung Spirit IPC briefing (CDC voucher donation) 10-11am, online call. (Representative: Jin Hoa)</t>
  </si>
  <si>
    <t>Kampung Spirit (CDC Voucher donation briefing)</t>
  </si>
  <si>
    <t>Charity Walk 2027 (site visit at Mandai Forest Lodge and Board Walk) 10am to 3pm</t>
  </si>
  <si>
    <t>正罡玄门 Mid-Autumn Ration (200 pax), 9am to 12pm (In charge: Bryan &amp; Chi Hwee)</t>
  </si>
  <si>
    <t>正罡玄门 - mid-autumn ration distribution</t>
  </si>
  <si>
    <t>Personal Data Protection Act (PDPA) Essentials for Charities</t>
  </si>
  <si>
    <t>Microsoft AI forum</t>
  </si>
  <si>
    <t>Microsoft AI forum, 8am-5pm (Representative: Jin Hoa)</t>
  </si>
  <si>
    <t>Charity Governance Conference 2026</t>
  </si>
  <si>
    <t>Leaving a Legacy: Understanding Charitable Giving in Estate Planning (7-9pm zoom call, Represented by Kathy)</t>
  </si>
  <si>
    <t>Strategy Charity Fundraising (webinar)</t>
  </si>
  <si>
    <t>Strategic Charity Fundraising, webinar, 2-5.30pm (Representative: Jin Hoa)</t>
  </si>
  <si>
    <t>Axiom workshop - Co-pilot and eldercare solutions (Representative: Kathy, Yin Yee, Pei Yue, Crystal, Alicia)</t>
  </si>
  <si>
    <t>Co-pilot and Eldercare solution</t>
  </si>
  <si>
    <t>Charities Lean Forward - Protecting Personal Data: Personal Data Protection Act (PDPA) Essentials for Charities, PBSG Academy. 3-5pm, online training (Representative: Jin Hoa, Kathy)</t>
  </si>
  <si>
    <t>Register for LawWorks Legal Primer: Workplace Disputes - What Every Employee Should Know About Filing a Claim at the ECT (Representative: Kathy, Crystal)</t>
  </si>
  <si>
    <t>LawWorks Legal Primer: Workplace disputes</t>
  </si>
  <si>
    <t>MWS Family Service Centre Family Wellness Day (Exhibition Booth), 10am-2pm. (In charge: Bryan, representative: Physician Leong 梁芷维, Physician Eh 余淑婷, Yin Yee, Jin Hoa)</t>
  </si>
  <si>
    <t xml:space="preserve">Lunar July (ZhongYuan Festival) - Blk 838 Yishun Street 81 (Representative: Doran, 丽菁, 丽丝和先生 - all to arrive by 7pm) </t>
  </si>
  <si>
    <t>义顺南旺村中元会。(代表：Doran, 丽菁, 丽丝和先生）</t>
  </si>
  <si>
    <t>Lunar July (ZhongYuan Festival) - Nam Hong Siang Theon (Representative: NHWSS office staff, 5 front desk, 晓晓 - all to arrive by 7pm). Auction item included.</t>
  </si>
  <si>
    <t>南凤善堂中元会 (代表：南凤福利协会员工，晓晓）。筹款活动包括义标。</t>
  </si>
  <si>
    <t xml:space="preserve">Governance </t>
  </si>
  <si>
    <t xml:space="preserve">Fundraising with confidence </t>
  </si>
  <si>
    <t>第十届理事会第一次会议</t>
  </si>
  <si>
    <t>Tenth Management Committee 1st Meeting</t>
  </si>
  <si>
    <t>ExCo Meeting</t>
  </si>
  <si>
    <t>Tenth Management Committee 2nd Meeting</t>
  </si>
  <si>
    <t>第十届理事会第二次会议</t>
  </si>
  <si>
    <t>Ninth Management Committee 9th Meeting</t>
  </si>
  <si>
    <t>第九届理事会第九次会议</t>
  </si>
  <si>
    <t>Hari Raya Puasa (Public Holiday) - date subject to sighting of the moon</t>
  </si>
  <si>
    <t>Ninth Management Committee 10th Meeting</t>
  </si>
  <si>
    <t>开斋节（公共假期）－日期以观月为准</t>
  </si>
  <si>
    <t>第九届理事会第十次会议</t>
  </si>
  <si>
    <t>Charity Governance Conference 2026. 9.30am to 3.30pm. Raffles City Convention Centre. Conference 9.30am - 12pm, Workshop 2pm - 3.30pm. (Representative: Jin Hoa, Kathy)</t>
  </si>
  <si>
    <t>存心善堂 (中國潮汕)</t>
  </si>
  <si>
    <t>Visit from 存心善堂 (中國潮汕). NHST at 10am, then NHWSS at 11am-12pm. Approximately 40 pax.</t>
  </si>
  <si>
    <t>Visit from 存心善堂 (中國潮汕)</t>
  </si>
  <si>
    <t>Visit from Nanyang Girls' High School, Secondary 1 students - Heritage and cross-cultural learning journey. Approximately 60 pax, split into Group 1 (9.30am) and Group 2 (11.30am).</t>
  </si>
  <si>
    <t>Visit from Nanyang Girls' High School</t>
  </si>
  <si>
    <t>Fundraising with Confidence: Legal, Governance and Compliance Considerations for Non-Profits. Level 3 Tembusu Canopy, Temasek Shophouse (28 Orchard Road, Singapore 238832). Representative: Bryan, Chi Hwee, Jin Hoa</t>
  </si>
  <si>
    <t>25周年慈善晚宴、高尔夫球赛，暨特刊推介</t>
  </si>
  <si>
    <t>Nam Hong Siang Theon 65th Anniversary celebration dinner at Orchid Country Club, 7pm</t>
  </si>
  <si>
    <t>南凤善堂65周年晚宴 Orchid Country Club, 7pm</t>
  </si>
  <si>
    <t>南凤善堂65周年 NHST 65th anniversary</t>
  </si>
  <si>
    <t>宋大峰祖师诞辰</t>
  </si>
  <si>
    <t>Master Song Da Feng prayers at NHST, 10am</t>
  </si>
  <si>
    <t>宋大峰祖师诞辰, 南凤善堂, 10am</t>
  </si>
  <si>
    <t>Bursary award at NHST, 10.30am</t>
  </si>
  <si>
    <t>Bursary Award at NHST</t>
  </si>
  <si>
    <t>MS Project Ration Distribution (200 pax). (In charge: Bryan)</t>
  </si>
  <si>
    <t>屠妖节红包派发（AMS印族受惠者）</t>
  </si>
  <si>
    <t>Deepavali Ang Pao Distribution (AMS Hindus), actual day 9 Nov</t>
  </si>
  <si>
    <t>Nine Emperor Gods Festival Fundraiser – Day 1</t>
  </si>
  <si>
    <t>Nine Emperor Gods Festival Fundraiser – Day 2</t>
  </si>
  <si>
    <t>Nine Emperor Gods Festival Fundraiser – Day 3</t>
  </si>
  <si>
    <t>九皇爷诞筹款第一天 (理事會的宴會)</t>
  </si>
  <si>
    <t>九皇爷诞筹款第二天(香友會)</t>
  </si>
  <si>
    <t>九皇爷诞筹款第三天(诚敬會)</t>
  </si>
  <si>
    <t>Sunrise Charity Walk 2027</t>
  </si>
  <si>
    <t>日出义走2027</t>
  </si>
  <si>
    <t>Sunrise Charity Walk</t>
  </si>
  <si>
    <t>Kopi Kaki session at Blk 123 coffee shop, 830am to 930am</t>
  </si>
  <si>
    <t>咖啡老友，大牌123咖啡店，早上8点30分至9点30分</t>
  </si>
  <si>
    <t>遗嘱规划</t>
  </si>
  <si>
    <t>Will Writing by Mr Patrick Chang for 10-12pax elderly beneficiaries. 10am-12pm.</t>
  </si>
  <si>
    <t>Will writing training for beneficiaries</t>
  </si>
  <si>
    <t>Kueh making at Gin Thye Cake Maker (锦泰西果饼家)</t>
  </si>
  <si>
    <t>糕点自作 - 锦泰西果饼家</t>
  </si>
  <si>
    <t>Health Talk by TCM Physician. 2.30pm - 3.30pm</t>
  </si>
  <si>
    <t>中医保健养生讲座</t>
  </si>
  <si>
    <t>Health Talk 保健养生讲座</t>
  </si>
  <si>
    <t>Health Talk by TCM Physician. 10.30am - 11.30am</t>
  </si>
  <si>
    <t>Charities Essentials : Converting charity to CLG - Duties of Directors</t>
  </si>
  <si>
    <t>Charity to CLG conversion</t>
  </si>
  <si>
    <t>Social Service Sector Roadmap, 9am-1pm, NCSS Ulu Pandan Community Building</t>
  </si>
  <si>
    <t>NCSS Roadmap refresh</t>
  </si>
  <si>
    <t>Hai Nam Sua temple - 171 year celebration</t>
  </si>
  <si>
    <t>海南山天公神壇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</si>
</sst>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scheme val="minor"/>
    </font>
    <font>
      <b/>
      <sz val="10"/>
      <color rgb="FF142F63"/>
      <name val="Arial"/>
      <family val="2"/>
    </font>
    <font>
      <sz val="10"/>
      <color rgb="FF1C243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Microsoft YaHe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DengXian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F63"/>
      </patternFill>
    </fill>
  </fills>
  <borders count="1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4" fillId="0" borderId="6" xfId="0" applyFont="1" applyBorder="1"/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5" fontId="4" fillId="0" borderId="1" xfId="0" quotePrefix="1" applyNumberFormat="1" applyFont="1" applyBorder="1" applyAlignment="1">
      <alignment horizontal="left"/>
    </xf>
    <xf numFmtId="0" fontId="8" fillId="0" borderId="8" xfId="0" applyFont="1" applyBorder="1"/>
    <xf numFmtId="0" fontId="8" fillId="0" borderId="1" xfId="0" applyFont="1" applyBorder="1" applyAlignment="1">
      <alignment wrapText="1"/>
    </xf>
    <xf numFmtId="0" fontId="10" fillId="0" borderId="0" xfId="1"/>
    <xf numFmtId="0" fontId="4" fillId="0" borderId="1" xfId="0" quotePrefix="1" applyFont="1" applyBorder="1"/>
    <xf numFmtId="0" fontId="11" fillId="0" borderId="0" xfId="0" applyFont="1"/>
    <xf numFmtId="0" fontId="3" fillId="2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0" xfId="0" applyFont="1"/>
    <xf numFmtId="0" fontId="8" fillId="0" borderId="6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9" xfId="0" applyNumberFormat="1" applyFont="1" applyBorder="1"/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 applyAlignment="1">
      <alignment vertical="center"/>
    </xf>
    <xf numFmtId="164" fontId="8" fillId="0" borderId="7" xfId="0" applyNumberFormat="1" applyFont="1" applyBorder="1"/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8" fillId="0" borderId="10" xfId="0" applyFont="1" applyBorder="1"/>
    <xf numFmtId="0" fontId="8" fillId="0" borderId="11" xfId="0" applyFont="1" applyBorder="1"/>
    <xf numFmtId="0" fontId="5" fillId="0" borderId="7" xfId="0" applyFont="1" applyBorder="1"/>
    <xf numFmtId="164" fontId="8" fillId="0" borderId="6" xfId="0" applyNumberFormat="1" applyFont="1" applyBorder="1"/>
    <xf numFmtId="0" fontId="8" fillId="0" borderId="6" xfId="0" applyFont="1" applyBorder="1" applyAlignment="1">
      <alignment horizontal="center"/>
    </xf>
    <xf numFmtId="0" fontId="5" fillId="0" borderId="9" xfId="0" applyFont="1" applyBorder="1"/>
    <xf numFmtId="0" fontId="5" fillId="0" borderId="6" xfId="0" applyFont="1" applyBorder="1"/>
    <xf numFmtId="0" fontId="5" fillId="0" borderId="0" xfId="0" applyFont="1"/>
    <xf numFmtId="0" fontId="5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DFA8DD-4C2F-4027-B6F7-80CB9B5FDB4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02c0abc4-2cfb-4606-8b6f-f01025eea55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26041;&#33311;@&#23703;&#24052;&#22763;&#20013;&#20803;&#20250;%20(&#20195;&#34920;&#65306;Doran,%20Pei%20Yuen,%20Chi%20Hwee,%20Agnes&#65289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27" sqref="A27"/>
    </sheetView>
  </sheetViews>
  <sheetFormatPr defaultRowHeight="14.5" x14ac:dyDescent="0.35"/>
  <cols>
    <col min="1" max="1" width="108" customWidth="1"/>
  </cols>
  <sheetData>
    <row r="1" spans="1:1" x14ac:dyDescent="0.35">
      <c r="A1" s="1" t="s">
        <v>229</v>
      </c>
    </row>
    <row r="2" spans="1:1" x14ac:dyDescent="0.35">
      <c r="A2" s="2"/>
    </row>
    <row r="3" spans="1:1" x14ac:dyDescent="0.35">
      <c r="A3" s="1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/>
    </row>
    <row r="7" spans="1:1" x14ac:dyDescent="0.35">
      <c r="A7" s="1" t="s">
        <v>3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/>
    </row>
    <row r="20" spans="1:1" x14ac:dyDescent="0.35">
      <c r="A20" s="1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35"/>
  <sheetViews>
    <sheetView tabSelected="1" topLeftCell="D1" workbookViewId="0">
      <pane ySplit="1" topLeftCell="A76" activePane="bottomLeft" state="frozen"/>
      <selection activeCell="C1" sqref="C1"/>
      <selection pane="bottomLeft" activeCell="F89" sqref="F89"/>
    </sheetView>
  </sheetViews>
  <sheetFormatPr defaultRowHeight="14.5" x14ac:dyDescent="0.35"/>
  <cols>
    <col min="1" max="1" width="10.1796875" bestFit="1" customWidth="1"/>
    <col min="2" max="2" width="4.54296875" bestFit="1" customWidth="1"/>
    <col min="3" max="3" width="82.36328125" customWidth="1"/>
    <col min="4" max="4" width="59.453125" bestFit="1" customWidth="1"/>
    <col min="5" max="5" width="20" bestFit="1" customWidth="1"/>
  </cols>
  <sheetData>
    <row r="1" spans="1:6" x14ac:dyDescent="0.35">
      <c r="A1" s="10" t="s">
        <v>30</v>
      </c>
      <c r="B1" s="10" t="s">
        <v>119</v>
      </c>
      <c r="C1" s="10" t="s">
        <v>31</v>
      </c>
      <c r="D1" s="10" t="s">
        <v>32</v>
      </c>
      <c r="E1" s="10" t="s">
        <v>134</v>
      </c>
      <c r="F1" s="24" t="s">
        <v>387</v>
      </c>
    </row>
    <row r="2" spans="1:6" x14ac:dyDescent="0.35">
      <c r="A2" s="28">
        <f>DATE(2026,1,1)</f>
        <v>46023</v>
      </c>
      <c r="B2" s="29" t="str">
        <f>TEXT($A2,"ddd")</f>
        <v>Thu</v>
      </c>
      <c r="C2" s="30" t="s">
        <v>473</v>
      </c>
      <c r="D2" s="30" t="s">
        <v>474</v>
      </c>
      <c r="E2" s="34" t="s">
        <v>451</v>
      </c>
      <c r="F2" s="27" t="s">
        <v>481</v>
      </c>
    </row>
    <row r="3" spans="1:6" x14ac:dyDescent="0.35">
      <c r="A3" s="31">
        <f>DATE(2026,1,1)</f>
        <v>46023</v>
      </c>
      <c r="B3" s="32" t="str">
        <f t="shared" ref="B3:B88" si="0">TEXT($A3,"ddd")</f>
        <v>Thu</v>
      </c>
      <c r="C3" s="33" t="s">
        <v>135</v>
      </c>
      <c r="D3" s="33" t="s">
        <v>136</v>
      </c>
      <c r="E3" s="33" t="s">
        <v>124</v>
      </c>
      <c r="F3" s="25" t="s">
        <v>388</v>
      </c>
    </row>
    <row r="4" spans="1:6" x14ac:dyDescent="0.35">
      <c r="A4" s="31">
        <f>DATE(2026,1,25)</f>
        <v>46047</v>
      </c>
      <c r="B4" s="42" t="str">
        <f t="shared" si="0"/>
        <v>Sun</v>
      </c>
      <c r="C4" s="44" t="s">
        <v>551</v>
      </c>
      <c r="D4" s="44" t="s">
        <v>552</v>
      </c>
      <c r="E4" s="25" t="s">
        <v>129</v>
      </c>
      <c r="F4" s="25" t="s">
        <v>548</v>
      </c>
    </row>
    <row r="5" spans="1:6" x14ac:dyDescent="0.35">
      <c r="A5" s="35">
        <f>DATE(2026,2,8)</f>
        <v>46061</v>
      </c>
      <c r="B5" s="36" t="str">
        <f t="shared" si="0"/>
        <v>Sun</v>
      </c>
      <c r="C5" s="37" t="s">
        <v>120</v>
      </c>
      <c r="D5" s="37" t="s">
        <v>137</v>
      </c>
      <c r="E5" s="37" t="s">
        <v>121</v>
      </c>
      <c r="F5" s="25" t="s">
        <v>391</v>
      </c>
    </row>
    <row r="6" spans="1:6" x14ac:dyDescent="0.35">
      <c r="A6" s="35">
        <f>DATE(2026,2,17)</f>
        <v>46070</v>
      </c>
      <c r="B6" s="36" t="str">
        <f>TEXT($A6,"ddd")</f>
        <v>Tue</v>
      </c>
      <c r="C6" s="37" t="s">
        <v>467</v>
      </c>
      <c r="D6" s="37" t="s">
        <v>468</v>
      </c>
      <c r="E6" s="39" t="s">
        <v>451</v>
      </c>
      <c r="F6" s="25" t="s">
        <v>482</v>
      </c>
    </row>
    <row r="7" spans="1:6" x14ac:dyDescent="0.35">
      <c r="A7" s="12">
        <f>DATE(2026,2,18)</f>
        <v>46071</v>
      </c>
      <c r="B7" s="13" t="str">
        <f>TEXT($A7,"ddd")</f>
        <v>Wed</v>
      </c>
      <c r="C7" s="11" t="s">
        <v>469</v>
      </c>
      <c r="D7" s="11" t="s">
        <v>470</v>
      </c>
      <c r="E7" s="38" t="s">
        <v>451</v>
      </c>
      <c r="F7" s="25" t="s">
        <v>482</v>
      </c>
    </row>
    <row r="8" spans="1:6" x14ac:dyDescent="0.35">
      <c r="A8" s="31">
        <f>DATE(2026,2,26)</f>
        <v>46079</v>
      </c>
      <c r="B8" s="32" t="str">
        <f t="shared" si="0"/>
        <v>Thu</v>
      </c>
      <c r="C8" s="33" t="s">
        <v>138</v>
      </c>
      <c r="D8" s="33" t="s">
        <v>139</v>
      </c>
      <c r="E8" s="33" t="s">
        <v>131</v>
      </c>
      <c r="F8" s="25" t="s">
        <v>392</v>
      </c>
    </row>
    <row r="9" spans="1:6" x14ac:dyDescent="0.35">
      <c r="A9" s="12">
        <f>DATE(2026,2,27)</f>
        <v>46080</v>
      </c>
      <c r="B9" s="13" t="str">
        <f t="shared" si="0"/>
        <v>Fri</v>
      </c>
      <c r="C9" s="11" t="s">
        <v>122</v>
      </c>
      <c r="D9" s="11" t="s">
        <v>140</v>
      </c>
      <c r="E9" s="11" t="s">
        <v>121</v>
      </c>
      <c r="F9" s="25" t="s">
        <v>395</v>
      </c>
    </row>
    <row r="10" spans="1:6" x14ac:dyDescent="0.35">
      <c r="A10" s="12">
        <f>DATE(2026,3,7)</f>
        <v>46088</v>
      </c>
      <c r="B10" s="13" t="str">
        <f t="shared" si="0"/>
        <v>Sat</v>
      </c>
      <c r="C10" s="11" t="s">
        <v>123</v>
      </c>
      <c r="D10" s="11" t="s">
        <v>141</v>
      </c>
      <c r="E10" s="11" t="s">
        <v>121</v>
      </c>
      <c r="F10" s="25" t="s">
        <v>396</v>
      </c>
    </row>
    <row r="11" spans="1:6" x14ac:dyDescent="0.35">
      <c r="A11" s="35">
        <f>DATE(2026,3,20)</f>
        <v>46101</v>
      </c>
      <c r="B11" s="36" t="str">
        <f t="shared" si="0"/>
        <v>Fri</v>
      </c>
      <c r="C11" s="37" t="s">
        <v>125</v>
      </c>
      <c r="D11" s="37" t="s">
        <v>142</v>
      </c>
      <c r="E11" s="37" t="s">
        <v>124</v>
      </c>
      <c r="F11" s="25" t="s">
        <v>393</v>
      </c>
    </row>
    <row r="12" spans="1:6" x14ac:dyDescent="0.35">
      <c r="A12" s="12">
        <f>DATE(2026,3,21)</f>
        <v>46102</v>
      </c>
      <c r="B12" s="13" t="str">
        <f>TEXT($A12,"ddd")</f>
        <v>Sat</v>
      </c>
      <c r="C12" s="16" t="s">
        <v>553</v>
      </c>
      <c r="D12" s="16" t="s">
        <v>555</v>
      </c>
      <c r="E12" s="38" t="s">
        <v>462</v>
      </c>
      <c r="F12" s="25" t="s">
        <v>483</v>
      </c>
    </row>
    <row r="13" spans="1:6" x14ac:dyDescent="0.35">
      <c r="A13" s="12">
        <f>DATE(2026,3,21)</f>
        <v>46102</v>
      </c>
      <c r="B13" s="42" t="str">
        <f t="shared" si="0"/>
        <v>Sat</v>
      </c>
      <c r="C13" s="44" t="s">
        <v>554</v>
      </c>
      <c r="D13" s="44" t="s">
        <v>556</v>
      </c>
      <c r="E13" s="25" t="s">
        <v>129</v>
      </c>
      <c r="F13" s="25" t="s">
        <v>548</v>
      </c>
    </row>
    <row r="14" spans="1:6" x14ac:dyDescent="0.35">
      <c r="A14" s="31">
        <f>DATE(2026,3,23)</f>
        <v>46104</v>
      </c>
      <c r="B14" s="32" t="str">
        <f t="shared" si="0"/>
        <v>Mon</v>
      </c>
      <c r="C14" s="33" t="s">
        <v>126</v>
      </c>
      <c r="D14" s="33" t="s">
        <v>143</v>
      </c>
      <c r="E14" s="33" t="s">
        <v>121</v>
      </c>
      <c r="F14" s="25" t="s">
        <v>399</v>
      </c>
    </row>
    <row r="15" spans="1:6" x14ac:dyDescent="0.35">
      <c r="A15" s="12">
        <f>DATE(2026,3,24)</f>
        <v>46105</v>
      </c>
      <c r="B15" s="13" t="str">
        <f t="shared" si="0"/>
        <v>Tue</v>
      </c>
      <c r="C15" s="11" t="s">
        <v>127</v>
      </c>
      <c r="D15" s="11" t="s">
        <v>144</v>
      </c>
      <c r="E15" s="11" t="s">
        <v>121</v>
      </c>
      <c r="F15" s="25" t="s">
        <v>398</v>
      </c>
    </row>
    <row r="16" spans="1:6" x14ac:dyDescent="0.35">
      <c r="A16" s="35">
        <f>DATE(2026,3,27)</f>
        <v>46108</v>
      </c>
      <c r="B16" s="36" t="str">
        <f t="shared" si="0"/>
        <v>Fri</v>
      </c>
      <c r="C16" s="37" t="s">
        <v>128</v>
      </c>
      <c r="D16" s="40" t="s">
        <v>211</v>
      </c>
      <c r="E16" s="37" t="s">
        <v>121</v>
      </c>
      <c r="F16" s="25" t="s">
        <v>394</v>
      </c>
    </row>
    <row r="17" spans="1:6" x14ac:dyDescent="0.35">
      <c r="A17" s="12">
        <f>DATE(2026,4,3)</f>
        <v>46115</v>
      </c>
      <c r="B17" s="13" t="str">
        <f>TEXT($A17,"ddd")</f>
        <v>Fri</v>
      </c>
      <c r="C17" s="11" t="s">
        <v>463</v>
      </c>
      <c r="D17" s="11" t="s">
        <v>464</v>
      </c>
      <c r="E17" s="38" t="s">
        <v>451</v>
      </c>
      <c r="F17" s="25" t="s">
        <v>484</v>
      </c>
    </row>
    <row r="18" spans="1:6" x14ac:dyDescent="0.35">
      <c r="A18" s="41">
        <f>DATE(2026,4,20)</f>
        <v>46132</v>
      </c>
      <c r="B18" s="42" t="str">
        <f t="shared" si="0"/>
        <v>Mon</v>
      </c>
      <c r="C18" s="25" t="s">
        <v>130</v>
      </c>
      <c r="D18" s="25" t="s">
        <v>230</v>
      </c>
      <c r="E18" s="25" t="s">
        <v>129</v>
      </c>
      <c r="F18" s="25" t="s">
        <v>403</v>
      </c>
    </row>
    <row r="19" spans="1:6" x14ac:dyDescent="0.35">
      <c r="A19" s="12">
        <f>DATE(2026,5,1)</f>
        <v>46143</v>
      </c>
      <c r="B19" s="13" t="str">
        <f>TEXT($A19,"ddd")</f>
        <v>Fri</v>
      </c>
      <c r="C19" s="11" t="s">
        <v>458</v>
      </c>
      <c r="D19" s="11" t="s">
        <v>459</v>
      </c>
      <c r="E19" s="38" t="s">
        <v>451</v>
      </c>
      <c r="F19" s="25" t="s">
        <v>485</v>
      </c>
    </row>
    <row r="20" spans="1:6" x14ac:dyDescent="0.35">
      <c r="A20" s="31">
        <f>DATE(2026,5,4)</f>
        <v>46146</v>
      </c>
      <c r="B20" s="32" t="str">
        <f t="shared" si="0"/>
        <v>Mon</v>
      </c>
      <c r="C20" s="33" t="s">
        <v>145</v>
      </c>
      <c r="D20" s="33" t="s">
        <v>146</v>
      </c>
      <c r="E20" s="33" t="s">
        <v>129</v>
      </c>
      <c r="F20" s="25" t="s">
        <v>401</v>
      </c>
    </row>
    <row r="21" spans="1:6" x14ac:dyDescent="0.35">
      <c r="A21" s="12">
        <f>DATE(2026,5,15)</f>
        <v>46157</v>
      </c>
      <c r="B21" s="13" t="str">
        <f t="shared" si="0"/>
        <v>Fri</v>
      </c>
      <c r="C21" s="11" t="s">
        <v>147</v>
      </c>
      <c r="D21" s="16" t="s">
        <v>564</v>
      </c>
      <c r="E21" s="11" t="s">
        <v>131</v>
      </c>
      <c r="F21" s="25" t="s">
        <v>402</v>
      </c>
    </row>
    <row r="22" spans="1:6" x14ac:dyDescent="0.35">
      <c r="A22" s="12">
        <f>DATE(2026,5,24)</f>
        <v>46166</v>
      </c>
      <c r="B22" s="13" t="str">
        <f t="shared" si="0"/>
        <v>Sun</v>
      </c>
      <c r="C22" s="11" t="s">
        <v>148</v>
      </c>
      <c r="D22" s="11" t="s">
        <v>231</v>
      </c>
      <c r="E22" s="11" t="s">
        <v>129</v>
      </c>
      <c r="F22" s="25" t="s">
        <v>404</v>
      </c>
    </row>
    <row r="23" spans="1:6" x14ac:dyDescent="0.35">
      <c r="A23" s="35">
        <f>DATE(2026,5,25)</f>
        <v>46167</v>
      </c>
      <c r="B23" s="36" t="str">
        <f t="shared" si="0"/>
        <v>Mon</v>
      </c>
      <c r="C23" s="37" t="s">
        <v>132</v>
      </c>
      <c r="D23" s="37" t="s">
        <v>149</v>
      </c>
      <c r="E23" s="37" t="s">
        <v>121</v>
      </c>
      <c r="F23" s="25" t="s">
        <v>405</v>
      </c>
    </row>
    <row r="24" spans="1:6" x14ac:dyDescent="0.35">
      <c r="A24" s="12">
        <f>DATE(2026,5,27)</f>
        <v>46169</v>
      </c>
      <c r="B24" s="13" t="str">
        <f>TEXT($A24,"ddd")</f>
        <v>Wed</v>
      </c>
      <c r="C24" s="11" t="s">
        <v>495</v>
      </c>
      <c r="D24" s="11" t="s">
        <v>496</v>
      </c>
      <c r="E24" s="38" t="s">
        <v>462</v>
      </c>
      <c r="F24" s="25" t="s">
        <v>486</v>
      </c>
    </row>
    <row r="25" spans="1:6" x14ac:dyDescent="0.35">
      <c r="A25" s="31">
        <f>DATE(2026,5,29)</f>
        <v>46171</v>
      </c>
      <c r="B25" s="32" t="str">
        <f t="shared" si="0"/>
        <v>Fri</v>
      </c>
      <c r="C25" s="33" t="s">
        <v>150</v>
      </c>
      <c r="D25" s="33" t="s">
        <v>151</v>
      </c>
      <c r="E25" s="33" t="s">
        <v>218</v>
      </c>
      <c r="F25" s="25" t="s">
        <v>400</v>
      </c>
    </row>
    <row r="26" spans="1:6" x14ac:dyDescent="0.35">
      <c r="A26" s="35">
        <f>DATE(2026,5,30)</f>
        <v>46172</v>
      </c>
      <c r="B26" s="36" t="str">
        <f t="shared" si="0"/>
        <v>Sat</v>
      </c>
      <c r="C26" s="37" t="s">
        <v>152</v>
      </c>
      <c r="D26" s="37" t="s">
        <v>153</v>
      </c>
      <c r="E26" s="37" t="s">
        <v>218</v>
      </c>
      <c r="F26" s="25" t="s">
        <v>400</v>
      </c>
    </row>
    <row r="27" spans="1:6" x14ac:dyDescent="0.35">
      <c r="A27" s="35">
        <f>DATE(2026,5,31)</f>
        <v>46173</v>
      </c>
      <c r="B27" s="36" t="str">
        <f>TEXT($A27,"ddd")</f>
        <v>Sun</v>
      </c>
      <c r="C27" s="37" t="s">
        <v>456</v>
      </c>
      <c r="D27" s="37" t="s">
        <v>457</v>
      </c>
      <c r="E27" s="39" t="s">
        <v>451</v>
      </c>
      <c r="F27" s="25" t="s">
        <v>487</v>
      </c>
    </row>
    <row r="28" spans="1:6" x14ac:dyDescent="0.35">
      <c r="A28" s="12">
        <f>DATE(2026,6,1)</f>
        <v>46174</v>
      </c>
      <c r="B28" s="13" t="str">
        <f>TEXT($A28,"ddd")</f>
        <v>Mon</v>
      </c>
      <c r="C28" s="11" t="s">
        <v>479</v>
      </c>
      <c r="D28" s="11" t="s">
        <v>480</v>
      </c>
      <c r="E28" s="38" t="s">
        <v>451</v>
      </c>
      <c r="F28" s="25" t="s">
        <v>488</v>
      </c>
    </row>
    <row r="29" spans="1:6" x14ac:dyDescent="0.35">
      <c r="A29" s="31">
        <f>DATE(2026,5,31)</f>
        <v>46173</v>
      </c>
      <c r="B29" s="32" t="str">
        <f t="shared" si="0"/>
        <v>Sun</v>
      </c>
      <c r="C29" s="33" t="s">
        <v>154</v>
      </c>
      <c r="D29" s="33" t="s">
        <v>155</v>
      </c>
      <c r="E29" s="33" t="s">
        <v>218</v>
      </c>
      <c r="F29" s="25" t="s">
        <v>400</v>
      </c>
    </row>
    <row r="30" spans="1:6" x14ac:dyDescent="0.35">
      <c r="A30" s="12">
        <f>DATE(2026,6,1)</f>
        <v>46174</v>
      </c>
      <c r="B30" s="13" t="str">
        <f t="shared" si="0"/>
        <v>Mon</v>
      </c>
      <c r="C30" s="11" t="s">
        <v>156</v>
      </c>
      <c r="D30" s="11" t="s">
        <v>157</v>
      </c>
      <c r="E30" s="11" t="s">
        <v>218</v>
      </c>
      <c r="F30" s="25" t="s">
        <v>400</v>
      </c>
    </row>
    <row r="31" spans="1:6" x14ac:dyDescent="0.35">
      <c r="A31" s="12">
        <f>DATE(2026,6,12)</f>
        <v>46185</v>
      </c>
      <c r="B31" s="13" t="str">
        <f t="shared" si="0"/>
        <v>Fri</v>
      </c>
      <c r="C31" s="11" t="s">
        <v>128</v>
      </c>
      <c r="D31" s="16" t="s">
        <v>212</v>
      </c>
      <c r="E31" s="11" t="s">
        <v>121</v>
      </c>
      <c r="F31" s="25" t="s">
        <v>394</v>
      </c>
    </row>
    <row r="32" spans="1:6" x14ac:dyDescent="0.35">
      <c r="A32" s="12">
        <f>DATE(2026,6,13)</f>
        <v>46186</v>
      </c>
      <c r="B32" s="13" t="str">
        <f t="shared" si="0"/>
        <v>Sat</v>
      </c>
      <c r="C32" s="11" t="s">
        <v>133</v>
      </c>
      <c r="D32" s="11" t="s">
        <v>158</v>
      </c>
      <c r="E32" s="11" t="s">
        <v>121</v>
      </c>
      <c r="F32" s="25" t="s">
        <v>389</v>
      </c>
    </row>
    <row r="33" spans="1:6" x14ac:dyDescent="0.35">
      <c r="A33" s="12">
        <f>DATE(2026,6,20)</f>
        <v>46193</v>
      </c>
      <c r="B33" s="13" t="str">
        <f t="shared" si="0"/>
        <v>Sat</v>
      </c>
      <c r="C33" s="11" t="s">
        <v>128</v>
      </c>
      <c r="D33" s="16" t="s">
        <v>212</v>
      </c>
      <c r="E33" s="11" t="s">
        <v>121</v>
      </c>
      <c r="F33" s="25" t="s">
        <v>394</v>
      </c>
    </row>
    <row r="34" spans="1:6" x14ac:dyDescent="0.35">
      <c r="A34" s="12">
        <f>DATE(2026,7,3)</f>
        <v>46206</v>
      </c>
      <c r="B34" s="13" t="str">
        <f t="shared" si="0"/>
        <v>Fri</v>
      </c>
      <c r="C34" s="11" t="s">
        <v>159</v>
      </c>
      <c r="D34" s="11" t="s">
        <v>160</v>
      </c>
      <c r="E34" s="11" t="s">
        <v>124</v>
      </c>
      <c r="F34" s="25" t="s">
        <v>406</v>
      </c>
    </row>
    <row r="35" spans="1:6" x14ac:dyDescent="0.35">
      <c r="A35" s="12">
        <f>DATE(2026,7,6)</f>
        <v>46209</v>
      </c>
      <c r="B35" s="42" t="str">
        <f t="shared" si="0"/>
        <v>Mon</v>
      </c>
      <c r="C35" s="25" t="s">
        <v>547</v>
      </c>
      <c r="D35" s="25" t="s">
        <v>546</v>
      </c>
      <c r="E35" s="25" t="s">
        <v>129</v>
      </c>
      <c r="F35" s="25" t="s">
        <v>548</v>
      </c>
    </row>
    <row r="36" spans="1:6" x14ac:dyDescent="0.35">
      <c r="A36" s="12">
        <f>DATE(2026,7,24)</f>
        <v>46227</v>
      </c>
      <c r="B36" s="13" t="str">
        <f t="shared" si="0"/>
        <v>Fri</v>
      </c>
      <c r="C36" s="11" t="s">
        <v>193</v>
      </c>
      <c r="D36" s="11" t="s">
        <v>194</v>
      </c>
      <c r="E36" s="11" t="s">
        <v>124</v>
      </c>
      <c r="F36" s="25" t="s">
        <v>407</v>
      </c>
    </row>
    <row r="37" spans="1:6" x14ac:dyDescent="0.35">
      <c r="A37" s="12">
        <f>DATE(2026,7,24)</f>
        <v>46227</v>
      </c>
      <c r="B37" s="13" t="str">
        <f t="shared" si="0"/>
        <v>Fri</v>
      </c>
      <c r="C37" s="16" t="s">
        <v>128</v>
      </c>
      <c r="D37" s="16" t="s">
        <v>213</v>
      </c>
      <c r="E37" s="11" t="s">
        <v>121</v>
      </c>
      <c r="F37" s="25" t="s">
        <v>394</v>
      </c>
    </row>
    <row r="38" spans="1:6" x14ac:dyDescent="0.35">
      <c r="A38" s="12">
        <f>DATE(2026,7,25)</f>
        <v>46228</v>
      </c>
      <c r="B38" s="13" t="str">
        <f t="shared" si="0"/>
        <v>Sat</v>
      </c>
      <c r="C38" s="16" t="s">
        <v>128</v>
      </c>
      <c r="D38" s="16" t="s">
        <v>213</v>
      </c>
      <c r="E38" s="11" t="s">
        <v>121</v>
      </c>
      <c r="F38" s="25" t="s">
        <v>394</v>
      </c>
    </row>
    <row r="39" spans="1:6" x14ac:dyDescent="0.35">
      <c r="A39" s="12">
        <f>DATE(2026,8,1)</f>
        <v>46235</v>
      </c>
      <c r="B39" s="13" t="str">
        <f t="shared" si="0"/>
        <v>Sat</v>
      </c>
      <c r="C39" s="11" t="s">
        <v>209</v>
      </c>
      <c r="D39" s="11" t="s">
        <v>210</v>
      </c>
      <c r="E39" s="11" t="s">
        <v>124</v>
      </c>
      <c r="F39" s="25" t="s">
        <v>408</v>
      </c>
    </row>
    <row r="40" spans="1:6" x14ac:dyDescent="0.35">
      <c r="A40" s="12">
        <f>DATE(2026,8,5)</f>
        <v>46239</v>
      </c>
      <c r="B40" s="13" t="str">
        <f t="shared" ref="B40:B55" si="1">TEXT($A40,"ddd")</f>
        <v>Wed</v>
      </c>
      <c r="C40" s="11" t="s">
        <v>216</v>
      </c>
      <c r="D40" s="16" t="s">
        <v>215</v>
      </c>
      <c r="E40" s="11" t="s">
        <v>121</v>
      </c>
      <c r="F40" s="25" t="s">
        <v>397</v>
      </c>
    </row>
    <row r="41" spans="1:6" x14ac:dyDescent="0.35">
      <c r="A41" s="35">
        <f>DATE(2026,8,8)</f>
        <v>46242</v>
      </c>
      <c r="B41" s="36" t="str">
        <f t="shared" si="1"/>
        <v>Sat</v>
      </c>
      <c r="C41" s="37" t="s">
        <v>222</v>
      </c>
      <c r="D41" s="40" t="s">
        <v>208</v>
      </c>
      <c r="E41" s="37" t="s">
        <v>218</v>
      </c>
      <c r="F41" s="25" t="s">
        <v>390</v>
      </c>
    </row>
    <row r="42" spans="1:6" x14ac:dyDescent="0.35">
      <c r="A42" s="35">
        <f>DATE(2026,8,9)</f>
        <v>46243</v>
      </c>
      <c r="B42" s="36" t="str">
        <f>TEXT($A42,"ddd")</f>
        <v>Sun</v>
      </c>
      <c r="C42" s="37" t="s">
        <v>454</v>
      </c>
      <c r="D42" s="37" t="s">
        <v>455</v>
      </c>
      <c r="E42" s="39" t="s">
        <v>451</v>
      </c>
      <c r="F42" s="25" t="s">
        <v>489</v>
      </c>
    </row>
    <row r="43" spans="1:6" x14ac:dyDescent="0.35">
      <c r="A43" s="12">
        <f>DATE(2026,8,10)</f>
        <v>46244</v>
      </c>
      <c r="B43" s="13" t="str">
        <f>TEXT($A43,"ddd")</f>
        <v>Mon</v>
      </c>
      <c r="C43" s="11" t="s">
        <v>477</v>
      </c>
      <c r="D43" s="11" t="s">
        <v>478</v>
      </c>
      <c r="E43" s="38" t="s">
        <v>451</v>
      </c>
      <c r="F43" s="25" t="s">
        <v>490</v>
      </c>
    </row>
    <row r="44" spans="1:6" x14ac:dyDescent="0.35">
      <c r="A44" s="31">
        <f>DATE(2026,8,14)</f>
        <v>46248</v>
      </c>
      <c r="B44" s="32" t="str">
        <f t="shared" si="1"/>
        <v>Fri</v>
      </c>
      <c r="C44" s="33" t="s">
        <v>505</v>
      </c>
      <c r="D44" s="43" t="s">
        <v>506</v>
      </c>
      <c r="E44" s="33" t="s">
        <v>218</v>
      </c>
      <c r="F44" s="25" t="s">
        <v>409</v>
      </c>
    </row>
    <row r="45" spans="1:6" x14ac:dyDescent="0.35">
      <c r="A45" s="12">
        <f>DATE(2026,8,15)</f>
        <v>46249</v>
      </c>
      <c r="B45" s="13" t="str">
        <f t="shared" si="1"/>
        <v>Sat</v>
      </c>
      <c r="C45" s="11" t="s">
        <v>223</v>
      </c>
      <c r="D45" s="16" t="s">
        <v>432</v>
      </c>
      <c r="E45" s="11" t="s">
        <v>226</v>
      </c>
      <c r="F45" s="25" t="s">
        <v>411</v>
      </c>
    </row>
    <row r="46" spans="1:6" x14ac:dyDescent="0.35">
      <c r="A46" s="12">
        <f>DATE(2026,8,19)</f>
        <v>46253</v>
      </c>
      <c r="B46" s="13" t="str">
        <f t="shared" si="1"/>
        <v>Wed</v>
      </c>
      <c r="C46" s="11" t="s">
        <v>434</v>
      </c>
      <c r="D46" s="16" t="s">
        <v>436</v>
      </c>
      <c r="E46" s="11" t="s">
        <v>129</v>
      </c>
      <c r="F46" s="25" t="s">
        <v>435</v>
      </c>
    </row>
    <row r="47" spans="1:6" x14ac:dyDescent="0.35">
      <c r="A47" s="12">
        <f>DATE(2026,8,23)</f>
        <v>46257</v>
      </c>
      <c r="B47" s="13" t="str">
        <f t="shared" si="1"/>
        <v>Sun</v>
      </c>
      <c r="C47" s="11" t="s">
        <v>497</v>
      </c>
      <c r="D47" s="11" t="s">
        <v>498</v>
      </c>
      <c r="E47" s="11" t="s">
        <v>218</v>
      </c>
      <c r="F47" s="25" t="s">
        <v>410</v>
      </c>
    </row>
    <row r="48" spans="1:6" x14ac:dyDescent="0.35">
      <c r="A48" s="12">
        <f>DATE(2026,8,28)</f>
        <v>46262</v>
      </c>
      <c r="B48" s="13" t="str">
        <f>TEXT($A48,"ddd")</f>
        <v>Fri</v>
      </c>
      <c r="C48" s="11" t="s">
        <v>442</v>
      </c>
      <c r="D48" s="11" t="s">
        <v>161</v>
      </c>
      <c r="E48" s="11" t="s">
        <v>124</v>
      </c>
      <c r="F48" s="25" t="s">
        <v>412</v>
      </c>
    </row>
    <row r="49" spans="1:7" x14ac:dyDescent="0.35">
      <c r="A49" s="12">
        <f>DATE(2026,8,29)</f>
        <v>46263</v>
      </c>
      <c r="B49" s="13" t="str">
        <f t="shared" si="1"/>
        <v>Sat</v>
      </c>
      <c r="C49" s="11" t="s">
        <v>443</v>
      </c>
      <c r="D49" s="11" t="s">
        <v>433</v>
      </c>
      <c r="E49" s="11" t="s">
        <v>226</v>
      </c>
      <c r="F49" s="25" t="s">
        <v>394</v>
      </c>
    </row>
    <row r="50" spans="1:7" x14ac:dyDescent="0.35">
      <c r="A50" s="12">
        <f>DATE(2026,8,29)</f>
        <v>46263</v>
      </c>
      <c r="B50" s="13" t="str">
        <f t="shared" si="1"/>
        <v>Sat</v>
      </c>
      <c r="C50" s="11" t="s">
        <v>440</v>
      </c>
      <c r="D50" s="11" t="s">
        <v>441</v>
      </c>
      <c r="E50" s="11" t="s">
        <v>218</v>
      </c>
      <c r="F50" s="25" t="s">
        <v>413</v>
      </c>
    </row>
    <row r="51" spans="1:7" x14ac:dyDescent="0.35">
      <c r="A51" s="12">
        <f>DATE(2026,8,31)</f>
        <v>46265</v>
      </c>
      <c r="B51" s="13" t="str">
        <f>TEXT($A51,"ddd")</f>
        <v>Mon</v>
      </c>
      <c r="C51" s="11" t="s">
        <v>234</v>
      </c>
      <c r="D51" s="21" t="s">
        <v>235</v>
      </c>
      <c r="E51" s="11" t="s">
        <v>218</v>
      </c>
      <c r="F51" s="25" t="s">
        <v>414</v>
      </c>
    </row>
    <row r="52" spans="1:7" x14ac:dyDescent="0.35">
      <c r="A52" s="12">
        <f>DATE(2026,9,1)</f>
        <v>46266</v>
      </c>
      <c r="B52" s="13" t="str">
        <f t="shared" si="1"/>
        <v>Tue</v>
      </c>
      <c r="C52" s="11" t="s">
        <v>533</v>
      </c>
      <c r="D52" s="21"/>
      <c r="E52" s="11" t="s">
        <v>226</v>
      </c>
      <c r="F52" s="25" t="s">
        <v>532</v>
      </c>
    </row>
    <row r="53" spans="1:7" x14ac:dyDescent="0.35">
      <c r="A53" s="12">
        <f>DATE(2026,9,1)</f>
        <v>46266</v>
      </c>
      <c r="B53" s="13" t="str">
        <f t="shared" si="1"/>
        <v>Tue</v>
      </c>
      <c r="C53" s="11" t="s">
        <v>507</v>
      </c>
      <c r="D53" s="16" t="s">
        <v>508</v>
      </c>
      <c r="E53" s="11" t="s">
        <v>218</v>
      </c>
      <c r="F53" s="25" t="s">
        <v>415</v>
      </c>
    </row>
    <row r="54" spans="1:7" x14ac:dyDescent="0.35">
      <c r="A54" s="12">
        <f>DATE(2026,9,3)</f>
        <v>46268</v>
      </c>
      <c r="B54" s="13" t="str">
        <f t="shared" si="1"/>
        <v>Thu</v>
      </c>
      <c r="C54" s="11" t="s">
        <v>224</v>
      </c>
      <c r="D54" s="11" t="s">
        <v>207</v>
      </c>
      <c r="E54" s="11" t="s">
        <v>218</v>
      </c>
      <c r="F54" s="25" t="s">
        <v>416</v>
      </c>
    </row>
    <row r="55" spans="1:7" x14ac:dyDescent="0.35">
      <c r="A55" s="12">
        <f>DATE(2026,9,3)</f>
        <v>46268</v>
      </c>
      <c r="B55" s="13" t="str">
        <f t="shared" si="1"/>
        <v>Thu</v>
      </c>
      <c r="C55" s="11" t="s">
        <v>509</v>
      </c>
      <c r="D55" s="16" t="s">
        <v>510</v>
      </c>
      <c r="E55" s="11" t="s">
        <v>218</v>
      </c>
      <c r="F55" s="25" t="s">
        <v>417</v>
      </c>
    </row>
    <row r="56" spans="1:7" x14ac:dyDescent="0.35">
      <c r="A56" s="12">
        <f>DATE(2026,9,4)</f>
        <v>46269</v>
      </c>
      <c r="B56" s="13" t="str">
        <f>TEXT($A56,"ddd")</f>
        <v>Fri</v>
      </c>
      <c r="C56" s="11" t="s">
        <v>448</v>
      </c>
      <c r="D56" s="11" t="s">
        <v>447</v>
      </c>
      <c r="E56" s="11" t="s">
        <v>218</v>
      </c>
      <c r="F56" s="25" t="s">
        <v>417</v>
      </c>
    </row>
    <row r="57" spans="1:7" x14ac:dyDescent="0.35">
      <c r="A57" s="12">
        <f>DATE(2026,9,4)</f>
        <v>46269</v>
      </c>
      <c r="B57" s="13" t="str">
        <f>TEXT($A57,"ddd")</f>
        <v>Fri</v>
      </c>
      <c r="C57" s="11" t="s">
        <v>512</v>
      </c>
      <c r="D57" s="11"/>
      <c r="E57" s="11" t="s">
        <v>226</v>
      </c>
      <c r="F57" s="25" t="s">
        <v>511</v>
      </c>
    </row>
    <row r="58" spans="1:7" x14ac:dyDescent="0.35">
      <c r="A58" s="12">
        <f>DATE(2026,9,5)</f>
        <v>46270</v>
      </c>
      <c r="B58" s="13" t="str">
        <f t="shared" si="0"/>
        <v>Sat</v>
      </c>
      <c r="C58" s="11" t="s">
        <v>539</v>
      </c>
      <c r="D58" s="11" t="s">
        <v>162</v>
      </c>
      <c r="E58" s="11" t="s">
        <v>124</v>
      </c>
      <c r="F58" s="25" t="s">
        <v>418</v>
      </c>
      <c r="G58" s="19"/>
    </row>
    <row r="59" spans="1:7" x14ac:dyDescent="0.35">
      <c r="A59" s="12">
        <f>DATE(2026,9,5)</f>
        <v>46270</v>
      </c>
      <c r="B59" s="13" t="str">
        <f t="shared" si="0"/>
        <v>Sat</v>
      </c>
      <c r="C59" s="11" t="s">
        <v>521</v>
      </c>
      <c r="D59" s="11"/>
      <c r="E59" s="11" t="s">
        <v>226</v>
      </c>
      <c r="F59" s="25" t="s">
        <v>520</v>
      </c>
      <c r="G59" s="19"/>
    </row>
    <row r="60" spans="1:7" x14ac:dyDescent="0.35">
      <c r="A60" s="12">
        <f>DATE(2026,9,7)</f>
        <v>46272</v>
      </c>
      <c r="B60" s="13" t="str">
        <f>TEXT($A60,"ddd")</f>
        <v>Mon</v>
      </c>
      <c r="C60" s="11" t="s">
        <v>542</v>
      </c>
      <c r="D60" s="16" t="s">
        <v>543</v>
      </c>
      <c r="E60" s="11" t="s">
        <v>218</v>
      </c>
      <c r="F60" s="25" t="s">
        <v>419</v>
      </c>
    </row>
    <row r="61" spans="1:7" x14ac:dyDescent="0.35">
      <c r="A61" s="12">
        <f>DATE(2026,9,8)</f>
        <v>46273</v>
      </c>
      <c r="B61" s="13" t="str">
        <f>TEXT($A61,"ddd")</f>
        <v>Tue</v>
      </c>
      <c r="C61" s="11" t="s">
        <v>446</v>
      </c>
      <c r="D61" s="16" t="s">
        <v>214</v>
      </c>
      <c r="E61" s="11" t="s">
        <v>218</v>
      </c>
      <c r="F61" s="25" t="s">
        <v>514</v>
      </c>
    </row>
    <row r="62" spans="1:7" x14ac:dyDescent="0.35">
      <c r="A62" s="12">
        <f>DATE(2026,9,8)</f>
        <v>46273</v>
      </c>
      <c r="B62" s="13" t="str">
        <f>TEXT($A62,"ddd")</f>
        <v>Tue</v>
      </c>
      <c r="C62" s="11" t="s">
        <v>522</v>
      </c>
      <c r="D62" s="16"/>
      <c r="E62" s="11" t="s">
        <v>226</v>
      </c>
      <c r="F62" s="25" t="s">
        <v>523</v>
      </c>
    </row>
    <row r="63" spans="1:7" x14ac:dyDescent="0.35">
      <c r="A63" s="12">
        <f>DATE(2026,9,9)</f>
        <v>46274</v>
      </c>
      <c r="B63" s="13" t="str">
        <f>TEXT($A63,"ddd")</f>
        <v>Wed</v>
      </c>
      <c r="C63" s="16" t="s">
        <v>540</v>
      </c>
      <c r="D63" s="16" t="s">
        <v>541</v>
      </c>
      <c r="E63" s="11" t="s">
        <v>218</v>
      </c>
      <c r="F63" s="25" t="s">
        <v>420</v>
      </c>
    </row>
    <row r="64" spans="1:7" x14ac:dyDescent="0.35">
      <c r="A64" s="12">
        <f>DATE(2026,9,9)</f>
        <v>46274</v>
      </c>
      <c r="B64" s="13" t="str">
        <f>TEXT($A64,"ddd")</f>
        <v>Wed</v>
      </c>
      <c r="C64" s="16" t="s">
        <v>531</v>
      </c>
      <c r="D64" s="16"/>
      <c r="E64" s="11" t="s">
        <v>129</v>
      </c>
      <c r="F64" s="25" t="s">
        <v>501</v>
      </c>
    </row>
    <row r="65" spans="1:6" x14ac:dyDescent="0.35">
      <c r="A65" s="12">
        <f>DATE(2026,9,16)</f>
        <v>46281</v>
      </c>
      <c r="B65" s="13" t="str">
        <f t="shared" si="0"/>
        <v>Wed</v>
      </c>
      <c r="C65" s="11" t="s">
        <v>216</v>
      </c>
      <c r="D65" s="16" t="s">
        <v>215</v>
      </c>
      <c r="E65" s="11" t="s">
        <v>121</v>
      </c>
      <c r="F65" s="25" t="s">
        <v>397</v>
      </c>
    </row>
    <row r="66" spans="1:6" x14ac:dyDescent="0.35">
      <c r="A66" s="12">
        <f>DATE(2026,9,16)</f>
        <v>46281</v>
      </c>
      <c r="B66" s="13" t="str">
        <f t="shared" si="0"/>
        <v>Wed</v>
      </c>
      <c r="C66" s="11" t="s">
        <v>534</v>
      </c>
      <c r="D66" s="16"/>
      <c r="E66" s="11" t="s">
        <v>129</v>
      </c>
      <c r="F66" s="25" t="s">
        <v>535</v>
      </c>
    </row>
    <row r="67" spans="1:6" x14ac:dyDescent="0.35">
      <c r="A67" s="12">
        <f>DATE(2026,9,17)</f>
        <v>46282</v>
      </c>
      <c r="B67" s="13" t="str">
        <f t="shared" si="0"/>
        <v>Thu</v>
      </c>
      <c r="C67" s="11" t="s">
        <v>524</v>
      </c>
      <c r="D67" s="11"/>
      <c r="E67" s="11" t="s">
        <v>131</v>
      </c>
      <c r="F67" s="25" t="s">
        <v>513</v>
      </c>
    </row>
    <row r="68" spans="1:6" x14ac:dyDescent="0.35">
      <c r="A68" s="12">
        <f>DATE(2026,9,18)</f>
        <v>46283</v>
      </c>
      <c r="B68" s="13" t="str">
        <f t="shared" si="0"/>
        <v>Fri</v>
      </c>
      <c r="C68" s="11" t="s">
        <v>225</v>
      </c>
      <c r="D68" s="11"/>
      <c r="E68" s="11" t="s">
        <v>226</v>
      </c>
      <c r="F68" s="25" t="s">
        <v>421</v>
      </c>
    </row>
    <row r="69" spans="1:6" x14ac:dyDescent="0.35">
      <c r="A69" s="12">
        <f>DATE(2026,9,18)</f>
        <v>46283</v>
      </c>
      <c r="B69" s="13" t="str">
        <f t="shared" si="0"/>
        <v>Fri</v>
      </c>
      <c r="C69" s="11" t="s">
        <v>499</v>
      </c>
      <c r="D69" s="11"/>
      <c r="E69" s="11" t="s">
        <v>131</v>
      </c>
      <c r="F69" s="25" t="s">
        <v>500</v>
      </c>
    </row>
    <row r="70" spans="1:6" x14ac:dyDescent="0.35">
      <c r="A70" s="12">
        <f>DATE(2026,9,19)</f>
        <v>46284</v>
      </c>
      <c r="B70" s="13" t="str">
        <f t="shared" si="0"/>
        <v>Sat</v>
      </c>
      <c r="C70" s="11" t="s">
        <v>502</v>
      </c>
      <c r="D70" s="11" t="s">
        <v>504</v>
      </c>
      <c r="E70" s="11" t="s">
        <v>121</v>
      </c>
      <c r="F70" s="25" t="s">
        <v>503</v>
      </c>
    </row>
    <row r="71" spans="1:6" x14ac:dyDescent="0.35">
      <c r="A71" s="12">
        <f>DATE(2026,9,19)</f>
        <v>46284</v>
      </c>
      <c r="B71" s="13" t="str">
        <f t="shared" si="0"/>
        <v>Sat</v>
      </c>
      <c r="C71" s="11" t="s">
        <v>516</v>
      </c>
      <c r="D71" s="11" t="s">
        <v>515</v>
      </c>
      <c r="E71" s="11" t="s">
        <v>129</v>
      </c>
      <c r="F71" s="25" t="s">
        <v>517</v>
      </c>
    </row>
    <row r="72" spans="1:6" x14ac:dyDescent="0.35">
      <c r="A72" s="12">
        <f>DATE(2026,9,20)</f>
        <v>46285</v>
      </c>
      <c r="B72" s="13" t="str">
        <f t="shared" si="0"/>
        <v>Sun</v>
      </c>
      <c r="C72" s="11" t="s">
        <v>525</v>
      </c>
      <c r="D72" s="11" t="s">
        <v>163</v>
      </c>
      <c r="E72" s="11" t="s">
        <v>124</v>
      </c>
      <c r="F72" s="25" t="s">
        <v>526</v>
      </c>
    </row>
    <row r="73" spans="1:6" x14ac:dyDescent="0.35">
      <c r="A73" s="12">
        <f>DATE(2026,9,23)</f>
        <v>46288</v>
      </c>
      <c r="B73" s="13" t="str">
        <f t="shared" si="0"/>
        <v>Wed</v>
      </c>
      <c r="C73" s="11" t="s">
        <v>536</v>
      </c>
      <c r="D73" s="11"/>
      <c r="E73" s="11" t="s">
        <v>129</v>
      </c>
      <c r="F73" s="25" t="s">
        <v>527</v>
      </c>
    </row>
    <row r="74" spans="1:6" x14ac:dyDescent="0.35">
      <c r="A74" s="12">
        <f>DATE(2026,9,23)</f>
        <v>46288</v>
      </c>
      <c r="B74" s="13" t="str">
        <f t="shared" si="0"/>
        <v>Wed</v>
      </c>
      <c r="C74" s="11" t="s">
        <v>537</v>
      </c>
      <c r="D74" s="11"/>
      <c r="E74" s="11" t="s">
        <v>129</v>
      </c>
      <c r="F74" s="25" t="s">
        <v>538</v>
      </c>
    </row>
    <row r="75" spans="1:6" x14ac:dyDescent="0.35">
      <c r="A75" s="12">
        <f>DATE(2026,9,25)</f>
        <v>46290</v>
      </c>
      <c r="B75" s="13" t="str">
        <f t="shared" si="0"/>
        <v>Fri</v>
      </c>
      <c r="C75" s="11" t="s">
        <v>563</v>
      </c>
      <c r="D75" s="11"/>
      <c r="E75" s="11" t="s">
        <v>544</v>
      </c>
      <c r="F75" s="25" t="s">
        <v>545</v>
      </c>
    </row>
    <row r="76" spans="1:6" ht="51" x14ac:dyDescent="0.35">
      <c r="A76" s="12">
        <f>DATE(2026,10,9)</f>
        <v>46304</v>
      </c>
      <c r="B76" s="13" t="str">
        <f t="shared" si="0"/>
        <v>Fri</v>
      </c>
      <c r="C76" s="20" t="s">
        <v>228</v>
      </c>
      <c r="D76" s="11" t="s">
        <v>227</v>
      </c>
      <c r="E76" s="11" t="s">
        <v>226</v>
      </c>
      <c r="F76" s="25" t="s">
        <v>423</v>
      </c>
    </row>
    <row r="77" spans="1:6" x14ac:dyDescent="0.35">
      <c r="A77" s="12">
        <f>DATE(2026,10,10)</f>
        <v>46305</v>
      </c>
      <c r="B77" s="13" t="str">
        <f t="shared" si="0"/>
        <v>Sat</v>
      </c>
      <c r="C77" s="11" t="s">
        <v>444</v>
      </c>
      <c r="D77" s="11" t="s">
        <v>237</v>
      </c>
      <c r="E77" s="11" t="s">
        <v>131</v>
      </c>
      <c r="F77" s="25" t="s">
        <v>424</v>
      </c>
    </row>
    <row r="78" spans="1:6" x14ac:dyDescent="0.35">
      <c r="A78" s="12">
        <f>DATE(2026,10,12)</f>
        <v>46307</v>
      </c>
      <c r="B78" s="13" t="str">
        <f t="shared" si="0"/>
        <v>Mon</v>
      </c>
      <c r="C78" s="11" t="s">
        <v>529</v>
      </c>
      <c r="D78" s="11"/>
      <c r="E78" s="11" t="s">
        <v>129</v>
      </c>
      <c r="F78" s="25" t="s">
        <v>528</v>
      </c>
    </row>
    <row r="79" spans="1:6" x14ac:dyDescent="0.35">
      <c r="A79" s="12">
        <f>DATE(2026,10,15)</f>
        <v>46310</v>
      </c>
      <c r="B79" s="13" t="str">
        <f>TEXT($A79,"ddd")</f>
        <v>Thu</v>
      </c>
      <c r="C79" s="40" t="s">
        <v>557</v>
      </c>
      <c r="D79" s="37"/>
      <c r="E79" s="37" t="s">
        <v>226</v>
      </c>
      <c r="F79" s="25" t="s">
        <v>530</v>
      </c>
    </row>
    <row r="80" spans="1:6" x14ac:dyDescent="0.35">
      <c r="A80" s="12">
        <f>DATE(2026,10,16)</f>
        <v>46311</v>
      </c>
      <c r="B80" s="13" t="str">
        <f>TEXT($A80,"ddd")</f>
        <v>Fri</v>
      </c>
      <c r="C80" s="40" t="s">
        <v>596</v>
      </c>
      <c r="D80" s="37"/>
      <c r="E80" s="37" t="s">
        <v>226</v>
      </c>
      <c r="F80" s="44" t="s">
        <v>597</v>
      </c>
    </row>
    <row r="81" spans="1:6" x14ac:dyDescent="0.35">
      <c r="A81" s="12">
        <f>DATE(2026,10,19)</f>
        <v>46314</v>
      </c>
      <c r="B81" s="13" t="str">
        <f t="shared" si="0"/>
        <v>Mon</v>
      </c>
      <c r="C81" s="16" t="s">
        <v>576</v>
      </c>
      <c r="D81" s="16" t="s">
        <v>579</v>
      </c>
      <c r="E81" s="11" t="s">
        <v>218</v>
      </c>
      <c r="F81" s="25" t="s">
        <v>425</v>
      </c>
    </row>
    <row r="82" spans="1:6" x14ac:dyDescent="0.35">
      <c r="A82" s="12">
        <f>DATE(2026,10,20)</f>
        <v>46315</v>
      </c>
      <c r="B82" s="42" t="str">
        <f>TEXT($A82,"ddd")</f>
        <v>Tue</v>
      </c>
      <c r="C82" s="25" t="s">
        <v>549</v>
      </c>
      <c r="D82" s="25" t="s">
        <v>550</v>
      </c>
      <c r="E82" s="25" t="s">
        <v>129</v>
      </c>
      <c r="F82" s="25" t="s">
        <v>548</v>
      </c>
    </row>
    <row r="83" spans="1:6" x14ac:dyDescent="0.35">
      <c r="A83" s="12">
        <f>DATE(2026,10,21)</f>
        <v>46316</v>
      </c>
      <c r="B83" s="13" t="str">
        <f>TEXT($A83,"ddd")</f>
        <v>Wed</v>
      </c>
      <c r="C83" s="40" t="s">
        <v>598</v>
      </c>
      <c r="D83" s="37"/>
      <c r="E83" s="37" t="s">
        <v>226</v>
      </c>
      <c r="F83" s="44" t="s">
        <v>599</v>
      </c>
    </row>
    <row r="84" spans="1:6" x14ac:dyDescent="0.35">
      <c r="A84" s="12">
        <f>DATE(2026,10,23)</f>
        <v>46318</v>
      </c>
      <c r="B84" s="13" t="str">
        <f t="shared" si="0"/>
        <v>Fri</v>
      </c>
      <c r="C84" s="16" t="s">
        <v>577</v>
      </c>
      <c r="D84" s="16" t="s">
        <v>580</v>
      </c>
      <c r="E84" s="11" t="s">
        <v>218</v>
      </c>
      <c r="F84" s="25" t="s">
        <v>425</v>
      </c>
    </row>
    <row r="85" spans="1:6" x14ac:dyDescent="0.35">
      <c r="A85" s="12">
        <f>DATE(2026,10,24)</f>
        <v>46319</v>
      </c>
      <c r="B85" s="13" t="str">
        <f t="shared" si="0"/>
        <v>Sat</v>
      </c>
      <c r="C85" s="16" t="s">
        <v>578</v>
      </c>
      <c r="D85" s="16" t="s">
        <v>581</v>
      </c>
      <c r="E85" s="11" t="s">
        <v>218</v>
      </c>
      <c r="F85" s="25" t="s">
        <v>425</v>
      </c>
    </row>
    <row r="86" spans="1:6" x14ac:dyDescent="0.35">
      <c r="A86" s="12">
        <f>DATE(2026,10,26)</f>
        <v>46321</v>
      </c>
      <c r="B86" s="42" t="str">
        <f t="shared" si="0"/>
        <v>Mon</v>
      </c>
      <c r="C86" s="25" t="s">
        <v>559</v>
      </c>
      <c r="D86" s="25" t="s">
        <v>558</v>
      </c>
      <c r="E86" s="25" t="s">
        <v>124</v>
      </c>
      <c r="F86" s="25" t="s">
        <v>560</v>
      </c>
    </row>
    <row r="87" spans="1:6" x14ac:dyDescent="0.35">
      <c r="A87" s="12">
        <f>DATE(2026,10,27)</f>
        <v>46322</v>
      </c>
      <c r="B87" s="42" t="str">
        <f t="shared" si="0"/>
        <v>Tue</v>
      </c>
      <c r="C87" s="25" t="s">
        <v>561</v>
      </c>
      <c r="D87" s="25"/>
      <c r="E87" s="25" t="s">
        <v>124</v>
      </c>
      <c r="F87" s="25" t="s">
        <v>562</v>
      </c>
    </row>
    <row r="88" spans="1:6" x14ac:dyDescent="0.35">
      <c r="A88" s="12">
        <f>DATE(2026,10,28)</f>
        <v>46323</v>
      </c>
      <c r="B88" s="42" t="str">
        <f t="shared" si="0"/>
        <v>Wed</v>
      </c>
      <c r="C88" s="44" t="s">
        <v>600</v>
      </c>
      <c r="D88" s="44" t="s">
        <v>601</v>
      </c>
      <c r="E88" s="44" t="s">
        <v>218</v>
      </c>
      <c r="F88" s="44" t="s">
        <v>601</v>
      </c>
    </row>
    <row r="89" spans="1:6" x14ac:dyDescent="0.35">
      <c r="A89" s="35">
        <f>DATE(2026,11,3)</f>
        <v>46329</v>
      </c>
      <c r="B89" s="36" t="str">
        <f t="shared" ref="B89:B134" si="2">TEXT($A89,"ddd")</f>
        <v>Tue</v>
      </c>
      <c r="C89" s="40" t="s">
        <v>575</v>
      </c>
      <c r="D89" s="40" t="s">
        <v>574</v>
      </c>
      <c r="E89" s="37" t="s">
        <v>121</v>
      </c>
      <c r="F89" s="25" t="s">
        <v>427</v>
      </c>
    </row>
    <row r="90" spans="1:6" x14ac:dyDescent="0.35">
      <c r="A90" s="35">
        <f>DATE(2026,11,3)</f>
        <v>46329</v>
      </c>
      <c r="B90" s="36" t="str">
        <f t="shared" si="2"/>
        <v>Tue</v>
      </c>
      <c r="C90" s="40" t="s">
        <v>592</v>
      </c>
      <c r="D90" s="40" t="s">
        <v>593</v>
      </c>
      <c r="E90" s="37" t="s">
        <v>121</v>
      </c>
      <c r="F90" s="44" t="s">
        <v>594</v>
      </c>
    </row>
    <row r="91" spans="1:6" x14ac:dyDescent="0.35">
      <c r="A91" s="35">
        <f>DATE(2026,11,7)</f>
        <v>46333</v>
      </c>
      <c r="B91" s="36" t="str">
        <f t="shared" si="2"/>
        <v>Sat</v>
      </c>
      <c r="C91" s="40" t="s">
        <v>595</v>
      </c>
      <c r="D91" s="40" t="s">
        <v>593</v>
      </c>
      <c r="E91" s="37" t="s">
        <v>121</v>
      </c>
      <c r="F91" s="44" t="s">
        <v>594</v>
      </c>
    </row>
    <row r="92" spans="1:6" x14ac:dyDescent="0.35">
      <c r="A92" s="35">
        <f>DATE(2026,11,8)</f>
        <v>46334</v>
      </c>
      <c r="B92" s="36" t="str">
        <f>TEXT($A92,"ddd")</f>
        <v>Sun</v>
      </c>
      <c r="C92" s="37" t="s">
        <v>452</v>
      </c>
      <c r="D92" s="37" t="s">
        <v>453</v>
      </c>
      <c r="E92" s="39" t="s">
        <v>451</v>
      </c>
      <c r="F92" s="25" t="s">
        <v>491</v>
      </c>
    </row>
    <row r="93" spans="1:6" x14ac:dyDescent="0.35">
      <c r="A93" s="12">
        <f>DATE(2026,11,9)</f>
        <v>46335</v>
      </c>
      <c r="B93" s="13" t="str">
        <f>TEXT($A93,"ddd")</f>
        <v>Mon</v>
      </c>
      <c r="C93" s="11" t="s">
        <v>475</v>
      </c>
      <c r="D93" s="11" t="s">
        <v>476</v>
      </c>
      <c r="E93" s="38" t="s">
        <v>451</v>
      </c>
      <c r="F93" s="25" t="s">
        <v>492</v>
      </c>
    </row>
    <row r="94" spans="1:6" x14ac:dyDescent="0.35">
      <c r="A94" s="12">
        <f>DATE(2026,11,19)</f>
        <v>46345</v>
      </c>
      <c r="B94" s="13" t="str">
        <f>TEXT($A94,"ddd")</f>
        <v>Thu</v>
      </c>
      <c r="C94" s="16" t="s">
        <v>588</v>
      </c>
      <c r="D94" s="16" t="s">
        <v>587</v>
      </c>
      <c r="E94" s="46" t="s">
        <v>129</v>
      </c>
      <c r="F94" s="44" t="s">
        <v>589</v>
      </c>
    </row>
    <row r="95" spans="1:6" x14ac:dyDescent="0.35">
      <c r="A95" s="12">
        <f>DATE(2026,11,25)</f>
        <v>46351</v>
      </c>
      <c r="B95" s="13" t="str">
        <f>TEXT($A95,"ddd")</f>
        <v>Wed</v>
      </c>
      <c r="C95" s="16" t="s">
        <v>585</v>
      </c>
      <c r="D95" s="16" t="s">
        <v>586</v>
      </c>
      <c r="E95" s="11" t="s">
        <v>121</v>
      </c>
      <c r="F95" s="25" t="s">
        <v>397</v>
      </c>
    </row>
    <row r="96" spans="1:6" x14ac:dyDescent="0.35">
      <c r="A96" s="31">
        <f>DATE(2026,11,28)</f>
        <v>46354</v>
      </c>
      <c r="B96" s="32" t="str">
        <f t="shared" si="2"/>
        <v>Sat</v>
      </c>
      <c r="C96" s="43" t="s">
        <v>573</v>
      </c>
      <c r="D96" s="33"/>
      <c r="E96" s="33" t="s">
        <v>124</v>
      </c>
      <c r="F96" s="25" t="s">
        <v>428</v>
      </c>
    </row>
    <row r="97" spans="1:6" x14ac:dyDescent="0.35">
      <c r="A97" s="35">
        <f>DATE(2026,12,7)</f>
        <v>46363</v>
      </c>
      <c r="B97" s="36" t="str">
        <f t="shared" si="2"/>
        <v>Mon</v>
      </c>
      <c r="C97" s="40" t="s">
        <v>569</v>
      </c>
      <c r="D97" s="40" t="s">
        <v>570</v>
      </c>
      <c r="E97" s="40" t="s">
        <v>218</v>
      </c>
      <c r="F97" s="40" t="s">
        <v>568</v>
      </c>
    </row>
    <row r="98" spans="1:6" x14ac:dyDescent="0.35">
      <c r="A98" s="35">
        <f>DATE(2026,12,7)</f>
        <v>46363</v>
      </c>
      <c r="B98" s="36" t="str">
        <f t="shared" si="2"/>
        <v>Mon</v>
      </c>
      <c r="C98" s="40" t="s">
        <v>571</v>
      </c>
      <c r="D98" s="40"/>
      <c r="E98" s="40" t="s">
        <v>121</v>
      </c>
      <c r="F98" s="40" t="s">
        <v>572</v>
      </c>
    </row>
    <row r="99" spans="1:6" x14ac:dyDescent="0.35">
      <c r="A99" s="35">
        <f>DATE(2026,12,11)</f>
        <v>46367</v>
      </c>
      <c r="B99" s="36" t="str">
        <f t="shared" si="2"/>
        <v>Fri</v>
      </c>
      <c r="C99" s="40" t="s">
        <v>565</v>
      </c>
      <c r="D99" s="40" t="s">
        <v>566</v>
      </c>
      <c r="E99" s="40" t="s">
        <v>218</v>
      </c>
      <c r="F99" s="44" t="s">
        <v>567</v>
      </c>
    </row>
    <row r="100" spans="1:6" x14ac:dyDescent="0.35">
      <c r="A100" s="35">
        <f>DATE(2026,12,16)</f>
        <v>46372</v>
      </c>
      <c r="B100" s="36" t="str">
        <f t="shared" si="2"/>
        <v>Wed</v>
      </c>
      <c r="C100" s="40" t="s">
        <v>445</v>
      </c>
      <c r="D100" s="40" t="s">
        <v>195</v>
      </c>
      <c r="E100" s="37" t="s">
        <v>131</v>
      </c>
      <c r="F100" s="25" t="s">
        <v>429</v>
      </c>
    </row>
    <row r="101" spans="1:6" x14ac:dyDescent="0.35">
      <c r="A101" s="35">
        <f>DATE(2026,12,25)</f>
        <v>46381</v>
      </c>
      <c r="B101" s="36" t="str">
        <f>TEXT($A101,"ddd")</f>
        <v>Fri</v>
      </c>
      <c r="C101" s="37" t="s">
        <v>449</v>
      </c>
      <c r="D101" s="37" t="s">
        <v>450</v>
      </c>
      <c r="E101" s="39" t="s">
        <v>451</v>
      </c>
      <c r="F101" s="25" t="s">
        <v>493</v>
      </c>
    </row>
    <row r="102" spans="1:6" x14ac:dyDescent="0.35">
      <c r="A102" s="12">
        <f>DATE(2027,1,1)</f>
        <v>46388</v>
      </c>
      <c r="B102" s="13" t="str">
        <f>TEXT($A102,"ddd")</f>
        <v>Fri</v>
      </c>
      <c r="C102" s="11" t="s">
        <v>473</v>
      </c>
      <c r="D102" s="11" t="s">
        <v>474</v>
      </c>
      <c r="E102" s="38" t="s">
        <v>451</v>
      </c>
      <c r="F102" s="25" t="s">
        <v>481</v>
      </c>
    </row>
    <row r="103" spans="1:6" x14ac:dyDescent="0.35">
      <c r="A103" s="31">
        <f>DATE(2027,1,1)</f>
        <v>46388</v>
      </c>
      <c r="B103" s="32" t="str">
        <f t="shared" si="2"/>
        <v>Fri</v>
      </c>
      <c r="C103" s="43" t="s">
        <v>217</v>
      </c>
      <c r="D103" s="33" t="s">
        <v>196</v>
      </c>
      <c r="E103" s="33" t="s">
        <v>131</v>
      </c>
      <c r="F103" s="25" t="s">
        <v>388</v>
      </c>
    </row>
    <row r="104" spans="1:6" x14ac:dyDescent="0.35">
      <c r="A104" s="35">
        <f>DATE(2027,1,15)</f>
        <v>46402</v>
      </c>
      <c r="B104" s="36" t="str">
        <f t="shared" si="2"/>
        <v>Fri</v>
      </c>
      <c r="C104" s="40" t="s">
        <v>590</v>
      </c>
      <c r="D104" s="40" t="s">
        <v>591</v>
      </c>
      <c r="E104" s="37" t="s">
        <v>121</v>
      </c>
      <c r="F104" s="25"/>
    </row>
    <row r="105" spans="1:6" x14ac:dyDescent="0.35">
      <c r="A105" s="35">
        <f>DATE(2027,1,30)</f>
        <v>46417</v>
      </c>
      <c r="B105" s="36" t="str">
        <f t="shared" si="2"/>
        <v>Sat</v>
      </c>
      <c r="C105" s="37" t="s">
        <v>166</v>
      </c>
      <c r="D105" s="37" t="s">
        <v>197</v>
      </c>
      <c r="E105" s="37" t="s">
        <v>121</v>
      </c>
      <c r="F105" s="25" t="s">
        <v>391</v>
      </c>
    </row>
    <row r="106" spans="1:6" x14ac:dyDescent="0.35">
      <c r="A106" s="35">
        <f>DATE(2027,2,6)</f>
        <v>46424</v>
      </c>
      <c r="B106" s="36" t="str">
        <f>TEXT($A106,"ddd")</f>
        <v>Sat</v>
      </c>
      <c r="C106" s="37" t="s">
        <v>467</v>
      </c>
      <c r="D106" s="37" t="s">
        <v>468</v>
      </c>
      <c r="E106" s="39" t="s">
        <v>451</v>
      </c>
      <c r="F106" s="25" t="s">
        <v>482</v>
      </c>
    </row>
    <row r="107" spans="1:6" x14ac:dyDescent="0.35">
      <c r="A107" s="35">
        <f>DATE(2027,2,7)</f>
        <v>46425</v>
      </c>
      <c r="B107" s="36" t="str">
        <f>TEXT($A107,"ddd")</f>
        <v>Sun</v>
      </c>
      <c r="C107" s="37" t="s">
        <v>469</v>
      </c>
      <c r="D107" s="37" t="s">
        <v>470</v>
      </c>
      <c r="E107" s="39" t="s">
        <v>451</v>
      </c>
      <c r="F107" s="25" t="s">
        <v>482</v>
      </c>
    </row>
    <row r="108" spans="1:6" x14ac:dyDescent="0.35">
      <c r="A108" s="12">
        <f>DATE(2027,2,8)</f>
        <v>46426</v>
      </c>
      <c r="B108" s="13" t="str">
        <f>TEXT($A108,"ddd")</f>
        <v>Mon</v>
      </c>
      <c r="C108" s="11" t="s">
        <v>471</v>
      </c>
      <c r="D108" s="11" t="s">
        <v>472</v>
      </c>
      <c r="E108" s="38" t="s">
        <v>451</v>
      </c>
      <c r="F108" s="25" t="s">
        <v>494</v>
      </c>
    </row>
    <row r="109" spans="1:6" x14ac:dyDescent="0.35">
      <c r="A109" s="41">
        <f>DATE(2027,2,18)</f>
        <v>46436</v>
      </c>
      <c r="B109" s="42" t="str">
        <f t="shared" si="2"/>
        <v>Thu</v>
      </c>
      <c r="C109" s="25" t="s">
        <v>220</v>
      </c>
      <c r="D109" s="25" t="s">
        <v>221</v>
      </c>
      <c r="E109" s="25" t="s">
        <v>219</v>
      </c>
      <c r="F109" s="26" t="s">
        <v>392</v>
      </c>
    </row>
    <row r="110" spans="1:6" x14ac:dyDescent="0.35">
      <c r="A110" s="12">
        <f>DATE(2027,3,6)</f>
        <v>46452</v>
      </c>
      <c r="B110" s="13" t="str">
        <f>TEXT($A110,"ddd")</f>
        <v>Sat</v>
      </c>
      <c r="C110" s="11" t="s">
        <v>518</v>
      </c>
      <c r="D110" s="11" t="s">
        <v>519</v>
      </c>
      <c r="E110" s="11" t="s">
        <v>124</v>
      </c>
      <c r="F110" s="25" t="s">
        <v>422</v>
      </c>
    </row>
    <row r="111" spans="1:6" x14ac:dyDescent="0.35">
      <c r="A111" s="12">
        <f>DATE(2027,3,10)</f>
        <v>46456</v>
      </c>
      <c r="B111" s="13" t="str">
        <f>TEXT($A111,"ddd")</f>
        <v>Wed</v>
      </c>
      <c r="C111" s="11" t="s">
        <v>465</v>
      </c>
      <c r="D111" s="11" t="s">
        <v>466</v>
      </c>
      <c r="E111" s="38" t="s">
        <v>462</v>
      </c>
      <c r="F111" s="25" t="s">
        <v>483</v>
      </c>
    </row>
    <row r="112" spans="1:6" x14ac:dyDescent="0.35">
      <c r="A112" s="31">
        <f>DATE(2027,3,19)</f>
        <v>46465</v>
      </c>
      <c r="B112" s="32" t="str">
        <f t="shared" si="2"/>
        <v>Fri</v>
      </c>
      <c r="C112" s="33" t="s">
        <v>167</v>
      </c>
      <c r="D112" s="33" t="s">
        <v>198</v>
      </c>
      <c r="E112" s="33" t="s">
        <v>124</v>
      </c>
      <c r="F112" s="26" t="s">
        <v>426</v>
      </c>
    </row>
    <row r="113" spans="1:6" x14ac:dyDescent="0.35">
      <c r="A113" s="35">
        <f>DATE(2027,3,25)</f>
        <v>46471</v>
      </c>
      <c r="B113" s="36" t="str">
        <f t="shared" si="2"/>
        <v>Thu</v>
      </c>
      <c r="C113" s="37" t="s">
        <v>168</v>
      </c>
      <c r="D113" s="37" t="s">
        <v>199</v>
      </c>
      <c r="E113" s="37" t="s">
        <v>121</v>
      </c>
      <c r="F113" s="26" t="s">
        <v>399</v>
      </c>
    </row>
    <row r="114" spans="1:6" x14ac:dyDescent="0.35">
      <c r="A114" s="12">
        <f>DATE(2027,3,26)</f>
        <v>46472</v>
      </c>
      <c r="B114" s="13" t="str">
        <f>TEXT($A114,"ddd")</f>
        <v>Fri</v>
      </c>
      <c r="C114" s="11" t="s">
        <v>463</v>
      </c>
      <c r="D114" s="11" t="s">
        <v>464</v>
      </c>
      <c r="E114" s="38" t="s">
        <v>451</v>
      </c>
      <c r="F114" s="25" t="s">
        <v>484</v>
      </c>
    </row>
    <row r="115" spans="1:6" x14ac:dyDescent="0.35">
      <c r="A115" s="31">
        <f>DATE(2027,4,17)</f>
        <v>46494</v>
      </c>
      <c r="B115" s="32" t="str">
        <f>TEXT($A115,"ddd")</f>
        <v>Sat</v>
      </c>
      <c r="C115" s="43" t="s">
        <v>582</v>
      </c>
      <c r="D115" s="43" t="s">
        <v>583</v>
      </c>
      <c r="E115" s="43" t="s">
        <v>131</v>
      </c>
      <c r="F115" s="45" t="s">
        <v>584</v>
      </c>
    </row>
    <row r="116" spans="1:6" x14ac:dyDescent="0.35">
      <c r="A116" s="35">
        <f>DATE(2027,5,1)</f>
        <v>46508</v>
      </c>
      <c r="B116" s="36" t="str">
        <f>TEXT($A116,"ddd")</f>
        <v>Sat</v>
      </c>
      <c r="C116" s="37" t="s">
        <v>458</v>
      </c>
      <c r="D116" s="37" t="s">
        <v>459</v>
      </c>
      <c r="E116" s="39" t="s">
        <v>451</v>
      </c>
      <c r="F116" s="25" t="s">
        <v>485</v>
      </c>
    </row>
    <row r="117" spans="1:6" x14ac:dyDescent="0.35">
      <c r="A117" s="12">
        <f>DATE(2027,5,17)</f>
        <v>46524</v>
      </c>
      <c r="B117" s="13" t="str">
        <f>TEXT($A117,"ddd")</f>
        <v>Mon</v>
      </c>
      <c r="C117" s="11" t="s">
        <v>460</v>
      </c>
      <c r="D117" s="11" t="s">
        <v>461</v>
      </c>
      <c r="E117" s="38" t="s">
        <v>462</v>
      </c>
      <c r="F117" s="25" t="s">
        <v>486</v>
      </c>
    </row>
    <row r="118" spans="1:6" x14ac:dyDescent="0.35">
      <c r="A118" s="41">
        <f>DATE(2027,5,19)</f>
        <v>46526</v>
      </c>
      <c r="B118" s="42" t="str">
        <f t="shared" si="2"/>
        <v>Wed</v>
      </c>
      <c r="C118" s="25" t="s">
        <v>169</v>
      </c>
      <c r="D118" s="25" t="s">
        <v>200</v>
      </c>
      <c r="E118" s="25" t="s">
        <v>218</v>
      </c>
      <c r="F118" s="26" t="s">
        <v>400</v>
      </c>
    </row>
    <row r="119" spans="1:6" x14ac:dyDescent="0.35">
      <c r="A119" s="12">
        <f>DATE(2027,5,20)</f>
        <v>46527</v>
      </c>
      <c r="B119" s="13" t="str">
        <f>TEXT($A119,"ddd")</f>
        <v>Thu</v>
      </c>
      <c r="C119" s="11" t="s">
        <v>456</v>
      </c>
      <c r="D119" s="11" t="s">
        <v>457</v>
      </c>
      <c r="E119" s="38" t="s">
        <v>451</v>
      </c>
      <c r="F119" s="25" t="s">
        <v>487</v>
      </c>
    </row>
    <row r="120" spans="1:6" x14ac:dyDescent="0.35">
      <c r="A120" s="31">
        <f>DATE(2027,5,20)</f>
        <v>46527</v>
      </c>
      <c r="B120" s="32" t="str">
        <f t="shared" si="2"/>
        <v>Thu</v>
      </c>
      <c r="C120" s="33" t="s">
        <v>170</v>
      </c>
      <c r="D120" s="33" t="s">
        <v>201</v>
      </c>
      <c r="E120" s="33" t="s">
        <v>218</v>
      </c>
      <c r="F120" s="26" t="s">
        <v>400</v>
      </c>
    </row>
    <row r="121" spans="1:6" x14ac:dyDescent="0.35">
      <c r="A121" s="12">
        <f>DATE(2027,5,21)</f>
        <v>46528</v>
      </c>
      <c r="B121" s="13" t="str">
        <f t="shared" si="2"/>
        <v>Fri</v>
      </c>
      <c r="C121" s="11" t="s">
        <v>171</v>
      </c>
      <c r="D121" s="11" t="s">
        <v>202</v>
      </c>
      <c r="E121" s="11" t="s">
        <v>218</v>
      </c>
      <c r="F121" s="26" t="s">
        <v>400</v>
      </c>
    </row>
    <row r="122" spans="1:6" x14ac:dyDescent="0.35">
      <c r="A122" s="12">
        <f>DATE(2027,5,28)</f>
        <v>46535</v>
      </c>
      <c r="B122" s="13" t="str">
        <f t="shared" si="2"/>
        <v>Fri</v>
      </c>
      <c r="C122" s="11" t="s">
        <v>172</v>
      </c>
      <c r="D122" s="11" t="s">
        <v>203</v>
      </c>
      <c r="E122" s="11" t="s">
        <v>121</v>
      </c>
      <c r="F122" s="26" t="s">
        <v>431</v>
      </c>
    </row>
    <row r="123" spans="1:6" x14ac:dyDescent="0.35">
      <c r="A123" s="12">
        <f>DATE(2027,6,11)</f>
        <v>46549</v>
      </c>
      <c r="B123" s="13" t="str">
        <f t="shared" si="2"/>
        <v>Fri</v>
      </c>
      <c r="C123" s="11" t="s">
        <v>236</v>
      </c>
      <c r="D123" s="11" t="s">
        <v>198</v>
      </c>
      <c r="E123" s="11" t="s">
        <v>124</v>
      </c>
      <c r="F123" s="26" t="s">
        <v>426</v>
      </c>
    </row>
    <row r="124" spans="1:6" x14ac:dyDescent="0.35">
      <c r="A124" s="12">
        <f>DATE(2027,7,9)</f>
        <v>46577</v>
      </c>
      <c r="B124" s="13" t="str">
        <f t="shared" si="2"/>
        <v>Fri</v>
      </c>
      <c r="C124" s="16" t="s">
        <v>437</v>
      </c>
      <c r="D124" s="11" t="s">
        <v>438</v>
      </c>
      <c r="E124" s="11" t="s">
        <v>124</v>
      </c>
      <c r="F124" s="25" t="s">
        <v>439</v>
      </c>
    </row>
    <row r="125" spans="1:6" x14ac:dyDescent="0.35">
      <c r="A125" s="35">
        <f>DATE(2027,7,30)</f>
        <v>46598</v>
      </c>
      <c r="B125" s="36" t="str">
        <f t="shared" si="2"/>
        <v>Fri</v>
      </c>
      <c r="C125" s="37" t="s">
        <v>173</v>
      </c>
      <c r="D125" s="37" t="s">
        <v>204</v>
      </c>
      <c r="E125" s="37" t="s">
        <v>124</v>
      </c>
      <c r="F125" s="26" t="s">
        <v>426</v>
      </c>
    </row>
    <row r="126" spans="1:6" x14ac:dyDescent="0.35">
      <c r="A126" s="12">
        <f>DATE(2027,8,9)</f>
        <v>46608</v>
      </c>
      <c r="B126" s="13" t="str">
        <f>TEXT($A126,"ddd")</f>
        <v>Mon</v>
      </c>
      <c r="C126" s="11" t="s">
        <v>454</v>
      </c>
      <c r="D126" s="11" t="s">
        <v>455</v>
      </c>
      <c r="E126" s="38" t="s">
        <v>451</v>
      </c>
      <c r="F126" s="25" t="s">
        <v>489</v>
      </c>
    </row>
    <row r="127" spans="1:6" x14ac:dyDescent="0.35">
      <c r="A127" s="31">
        <f>DATE(2027,8,16)</f>
        <v>46615</v>
      </c>
      <c r="B127" s="32" t="str">
        <f t="shared" si="2"/>
        <v>Mon</v>
      </c>
      <c r="C127" s="33" t="s">
        <v>174</v>
      </c>
      <c r="D127" s="33" t="s">
        <v>205</v>
      </c>
      <c r="E127" s="33" t="s">
        <v>218</v>
      </c>
      <c r="F127" s="26" t="s">
        <v>430</v>
      </c>
    </row>
    <row r="128" spans="1:6" x14ac:dyDescent="0.35">
      <c r="A128" s="12">
        <f>DATE(2027,9,10)</f>
        <v>46640</v>
      </c>
      <c r="B128" s="13" t="str">
        <f t="shared" si="2"/>
        <v>Fri</v>
      </c>
      <c r="C128" s="11" t="s">
        <v>167</v>
      </c>
      <c r="D128" s="11" t="s">
        <v>198</v>
      </c>
      <c r="E128" s="11" t="s">
        <v>124</v>
      </c>
      <c r="F128" s="26" t="s">
        <v>426</v>
      </c>
    </row>
    <row r="129" spans="1:6" x14ac:dyDescent="0.35">
      <c r="A129" s="12">
        <f>DATE(2027,9,18)</f>
        <v>46648</v>
      </c>
      <c r="B129" s="13" t="str">
        <f t="shared" si="2"/>
        <v>Sat</v>
      </c>
      <c r="C129" s="11" t="s">
        <v>175</v>
      </c>
      <c r="D129" s="11" t="s">
        <v>206</v>
      </c>
      <c r="E129" s="11" t="s">
        <v>131</v>
      </c>
      <c r="F129" s="26" t="s">
        <v>424</v>
      </c>
    </row>
    <row r="130" spans="1:6" x14ac:dyDescent="0.35">
      <c r="A130" s="35">
        <f>DATE(2027,10,15)</f>
        <v>46675</v>
      </c>
      <c r="B130" s="36" t="str">
        <f t="shared" si="2"/>
        <v>Fri</v>
      </c>
      <c r="C130" s="37" t="s">
        <v>167</v>
      </c>
      <c r="D130" s="37" t="s">
        <v>198</v>
      </c>
      <c r="E130" s="37" t="s">
        <v>124</v>
      </c>
      <c r="F130" s="26" t="s">
        <v>426</v>
      </c>
    </row>
    <row r="131" spans="1:6" x14ac:dyDescent="0.35">
      <c r="A131" s="12">
        <f>DATE(2027,10,28)</f>
        <v>46688</v>
      </c>
      <c r="B131" s="13" t="str">
        <f>TEXT($A131,"ddd")</f>
        <v>Thu</v>
      </c>
      <c r="C131" s="11" t="s">
        <v>452</v>
      </c>
      <c r="D131" s="11" t="s">
        <v>453</v>
      </c>
      <c r="E131" s="38" t="s">
        <v>451</v>
      </c>
      <c r="F131" s="25" t="s">
        <v>491</v>
      </c>
    </row>
    <row r="132" spans="1:6" x14ac:dyDescent="0.35">
      <c r="A132" s="31">
        <f>DATE(2027,11,12)</f>
        <v>46703</v>
      </c>
      <c r="B132" s="32" t="str">
        <f t="shared" si="2"/>
        <v>Fri</v>
      </c>
      <c r="C132" s="33" t="s">
        <v>167</v>
      </c>
      <c r="D132" s="33" t="s">
        <v>198</v>
      </c>
      <c r="E132" s="33" t="s">
        <v>124</v>
      </c>
      <c r="F132" s="26" t="s">
        <v>426</v>
      </c>
    </row>
    <row r="133" spans="1:6" x14ac:dyDescent="0.35">
      <c r="A133" s="12">
        <f>DATE(2027,11,26)</f>
        <v>46717</v>
      </c>
      <c r="B133" s="13" t="str">
        <f t="shared" si="2"/>
        <v>Fri</v>
      </c>
      <c r="C133" s="16" t="s">
        <v>437</v>
      </c>
      <c r="D133" s="11" t="s">
        <v>438</v>
      </c>
      <c r="E133" s="11" t="s">
        <v>124</v>
      </c>
      <c r="F133" s="25" t="s">
        <v>439</v>
      </c>
    </row>
    <row r="134" spans="1:6" x14ac:dyDescent="0.35">
      <c r="A134" s="35">
        <f>DATE(2027,12,16)</f>
        <v>46737</v>
      </c>
      <c r="B134" s="36" t="str">
        <f t="shared" si="2"/>
        <v>Thu</v>
      </c>
      <c r="C134" s="37" t="s">
        <v>165</v>
      </c>
      <c r="D134" s="40" t="s">
        <v>195</v>
      </c>
      <c r="E134" s="37" t="s">
        <v>131</v>
      </c>
      <c r="F134" s="26" t="s">
        <v>429</v>
      </c>
    </row>
    <row r="135" spans="1:6" x14ac:dyDescent="0.35">
      <c r="A135" s="12">
        <f>DATE(2027,12,25)</f>
        <v>46746</v>
      </c>
      <c r="B135" s="13" t="str">
        <f>TEXT($A135,"ddd")</f>
        <v>Sat</v>
      </c>
      <c r="C135" s="11" t="s">
        <v>449</v>
      </c>
      <c r="D135" s="11" t="s">
        <v>450</v>
      </c>
      <c r="E135" s="38" t="s">
        <v>451</v>
      </c>
      <c r="F135" s="25" t="s">
        <v>493</v>
      </c>
    </row>
  </sheetData>
  <autoFilter ref="A1:E135" xr:uid="{00000000-0001-0000-0400-000000000000}">
    <filterColumn colId="2">
      <iconFilter iconSet="3Arrows"/>
    </filterColumn>
  </autoFilter>
  <hyperlinks>
    <hyperlink ref="D51" r:id="rId1" xr:uid="{DF6FA8D1-34EA-46D0-A461-22B2F51DB44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pane ySplit="1" topLeftCell="A2" activePane="bottomLeft" state="frozen"/>
      <selection pane="bottomLeft" activeCell="E16" sqref="E16"/>
    </sheetView>
  </sheetViews>
  <sheetFormatPr defaultRowHeight="14.5" x14ac:dyDescent="0.35"/>
  <cols>
    <col min="1" max="1" width="6.08984375" customWidth="1"/>
    <col min="2" max="2" width="30" customWidth="1"/>
    <col min="3" max="3" width="16" customWidth="1"/>
    <col min="4" max="4" width="22.08984375" customWidth="1"/>
  </cols>
  <sheetData>
    <row r="1" spans="1:4" ht="15" thickBot="1" x14ac:dyDescent="0.4">
      <c r="A1" s="3" t="s">
        <v>18</v>
      </c>
      <c r="B1" s="3" t="s">
        <v>19</v>
      </c>
      <c r="C1" s="3" t="s">
        <v>20</v>
      </c>
      <c r="D1" s="3" t="s">
        <v>21</v>
      </c>
    </row>
    <row r="2" spans="1:4" ht="15" thickBot="1" x14ac:dyDescent="0.4">
      <c r="A2" s="4">
        <v>1</v>
      </c>
      <c r="B2" s="5" t="s">
        <v>37</v>
      </c>
      <c r="C2" s="6" t="s">
        <v>38</v>
      </c>
      <c r="D2" s="4" t="s">
        <v>83</v>
      </c>
    </row>
    <row r="3" spans="1:4" ht="15" thickBot="1" x14ac:dyDescent="0.4">
      <c r="A3" s="4">
        <v>2</v>
      </c>
      <c r="B3" s="7" t="s">
        <v>39</v>
      </c>
      <c r="C3" s="8" t="s">
        <v>40</v>
      </c>
      <c r="D3" s="4" t="s">
        <v>84</v>
      </c>
    </row>
    <row r="4" spans="1:4" ht="15" thickBot="1" x14ac:dyDescent="0.4">
      <c r="A4" s="4">
        <v>3</v>
      </c>
      <c r="B4" s="7" t="s">
        <v>41</v>
      </c>
      <c r="C4" s="8" t="s">
        <v>42</v>
      </c>
      <c r="D4" s="4" t="s">
        <v>93</v>
      </c>
    </row>
    <row r="5" spans="1:4" ht="15" thickBot="1" x14ac:dyDescent="0.4">
      <c r="A5" s="4">
        <v>4</v>
      </c>
      <c r="B5" s="7" t="s">
        <v>43</v>
      </c>
      <c r="C5" s="8" t="s">
        <v>44</v>
      </c>
      <c r="D5" s="4" t="s">
        <v>85</v>
      </c>
    </row>
    <row r="6" spans="1:4" ht="15" thickBot="1" x14ac:dyDescent="0.4">
      <c r="A6" s="4">
        <v>5</v>
      </c>
      <c r="B6" s="7" t="s">
        <v>45</v>
      </c>
      <c r="C6" s="8" t="s">
        <v>46</v>
      </c>
      <c r="D6" s="4" t="s">
        <v>86</v>
      </c>
    </row>
    <row r="7" spans="1:4" ht="15" thickBot="1" x14ac:dyDescent="0.4">
      <c r="A7" s="4">
        <v>6</v>
      </c>
      <c r="B7" s="7" t="s">
        <v>47</v>
      </c>
      <c r="C7" s="8" t="s">
        <v>48</v>
      </c>
      <c r="D7" s="4" t="s">
        <v>95</v>
      </c>
    </row>
    <row r="8" spans="1:4" ht="15" thickBot="1" x14ac:dyDescent="0.4">
      <c r="A8" s="4">
        <v>7</v>
      </c>
      <c r="B8" s="7" t="s">
        <v>49</v>
      </c>
      <c r="C8" s="8" t="s">
        <v>50</v>
      </c>
      <c r="D8" s="4" t="s">
        <v>101</v>
      </c>
    </row>
    <row r="9" spans="1:4" ht="15" thickBot="1" x14ac:dyDescent="0.4">
      <c r="A9" s="4">
        <v>8</v>
      </c>
      <c r="B9" s="7" t="s">
        <v>51</v>
      </c>
      <c r="C9" s="8" t="s">
        <v>52</v>
      </c>
      <c r="D9" s="4" t="s">
        <v>87</v>
      </c>
    </row>
    <row r="10" spans="1:4" ht="15" thickBot="1" x14ac:dyDescent="0.4">
      <c r="A10" s="4">
        <v>9</v>
      </c>
      <c r="B10" s="7" t="s">
        <v>53</v>
      </c>
      <c r="C10" s="8" t="s">
        <v>54</v>
      </c>
      <c r="D10" s="4" t="s">
        <v>110</v>
      </c>
    </row>
    <row r="11" spans="1:4" ht="15" thickBot="1" x14ac:dyDescent="0.4">
      <c r="A11" s="4">
        <v>10</v>
      </c>
      <c r="B11" s="7" t="s">
        <v>55</v>
      </c>
      <c r="C11" s="8" t="s">
        <v>56</v>
      </c>
      <c r="D11" s="4" t="s">
        <v>88</v>
      </c>
    </row>
    <row r="12" spans="1:4" ht="25.5" thickBot="1" x14ac:dyDescent="0.4">
      <c r="A12" s="4">
        <v>11</v>
      </c>
      <c r="B12" s="7" t="s">
        <v>57</v>
      </c>
      <c r="C12" s="9"/>
      <c r="D12" s="4" t="s">
        <v>94</v>
      </c>
    </row>
    <row r="13" spans="1:4" ht="15" thickBot="1" x14ac:dyDescent="0.4">
      <c r="A13" s="4">
        <v>12</v>
      </c>
      <c r="B13" s="7" t="s">
        <v>58</v>
      </c>
      <c r="C13" s="9"/>
      <c r="D13" s="4" t="s">
        <v>102</v>
      </c>
    </row>
    <row r="14" spans="1:4" ht="15" thickBot="1" x14ac:dyDescent="0.4">
      <c r="A14" s="4">
        <v>13</v>
      </c>
      <c r="B14" s="7" t="s">
        <v>59</v>
      </c>
      <c r="C14" s="8" t="s">
        <v>60</v>
      </c>
      <c r="D14" s="4" t="s">
        <v>89</v>
      </c>
    </row>
    <row r="15" spans="1:4" ht="15" thickBot="1" x14ac:dyDescent="0.4">
      <c r="A15" s="4">
        <v>14</v>
      </c>
      <c r="B15" s="7" t="s">
        <v>61</v>
      </c>
      <c r="C15" s="8" t="s">
        <v>238</v>
      </c>
      <c r="D15" s="4" t="s">
        <v>96</v>
      </c>
    </row>
    <row r="16" spans="1:4" ht="15" thickBot="1" x14ac:dyDescent="0.4">
      <c r="A16" s="4">
        <v>15</v>
      </c>
      <c r="B16" s="7" t="s">
        <v>62</v>
      </c>
      <c r="C16" s="8" t="s">
        <v>63</v>
      </c>
      <c r="D16" s="4" t="s">
        <v>103</v>
      </c>
    </row>
    <row r="17" spans="1:4" ht="15" thickBot="1" x14ac:dyDescent="0.4">
      <c r="A17" s="4">
        <v>16</v>
      </c>
      <c r="B17" s="7" t="s">
        <v>176</v>
      </c>
      <c r="C17" s="8" t="s">
        <v>64</v>
      </c>
      <c r="D17" s="4" t="s">
        <v>104</v>
      </c>
    </row>
    <row r="18" spans="1:4" ht="15" thickBot="1" x14ac:dyDescent="0.4">
      <c r="A18" s="4">
        <v>17</v>
      </c>
      <c r="B18" s="7" t="s">
        <v>65</v>
      </c>
      <c r="C18" s="8" t="s">
        <v>66</v>
      </c>
      <c r="D18" s="4" t="s">
        <v>105</v>
      </c>
    </row>
    <row r="19" spans="1:4" ht="15" thickBot="1" x14ac:dyDescent="0.4">
      <c r="A19" s="4">
        <v>18</v>
      </c>
      <c r="B19" s="7" t="s">
        <v>67</v>
      </c>
      <c r="C19" s="8" t="s">
        <v>68</v>
      </c>
      <c r="D19" s="4" t="s">
        <v>90</v>
      </c>
    </row>
    <row r="20" spans="1:4" ht="15" thickBot="1" x14ac:dyDescent="0.4">
      <c r="A20" s="4">
        <v>19</v>
      </c>
      <c r="B20" s="7" t="s">
        <v>69</v>
      </c>
      <c r="C20" s="8" t="s">
        <v>70</v>
      </c>
      <c r="D20" s="4" t="s">
        <v>97</v>
      </c>
    </row>
    <row r="21" spans="1:4" ht="15" thickBot="1" x14ac:dyDescent="0.4">
      <c r="A21" s="4">
        <v>20</v>
      </c>
      <c r="B21" s="7" t="s">
        <v>71</v>
      </c>
      <c r="C21" s="8" t="s">
        <v>72</v>
      </c>
      <c r="D21" s="4" t="s">
        <v>98</v>
      </c>
    </row>
    <row r="22" spans="1:4" ht="15" thickBot="1" x14ac:dyDescent="0.4">
      <c r="A22" s="4">
        <v>21</v>
      </c>
      <c r="B22" s="7" t="s">
        <v>73</v>
      </c>
      <c r="C22" s="8" t="s">
        <v>74</v>
      </c>
      <c r="D22" s="4" t="s">
        <v>106</v>
      </c>
    </row>
    <row r="23" spans="1:4" ht="15" thickBot="1" x14ac:dyDescent="0.4">
      <c r="A23" s="4">
        <v>22</v>
      </c>
      <c r="B23" s="7" t="s">
        <v>75</v>
      </c>
      <c r="C23" s="8" t="s">
        <v>76</v>
      </c>
      <c r="D23" s="4" t="s">
        <v>99</v>
      </c>
    </row>
    <row r="24" spans="1:4" ht="15" thickBot="1" x14ac:dyDescent="0.4">
      <c r="A24" s="4">
        <v>23</v>
      </c>
      <c r="B24" s="7" t="s">
        <v>77</v>
      </c>
      <c r="C24" s="8" t="s">
        <v>78</v>
      </c>
      <c r="D24" s="4" t="s">
        <v>100</v>
      </c>
    </row>
    <row r="25" spans="1:4" ht="15" thickBot="1" x14ac:dyDescent="0.4">
      <c r="A25" s="4">
        <v>24</v>
      </c>
      <c r="B25" s="7" t="s">
        <v>79</v>
      </c>
      <c r="C25" s="8" t="s">
        <v>80</v>
      </c>
      <c r="D25" s="4" t="s">
        <v>91</v>
      </c>
    </row>
    <row r="26" spans="1:4" ht="15" thickBot="1" x14ac:dyDescent="0.4">
      <c r="A26" s="4">
        <v>25</v>
      </c>
      <c r="B26" s="7" t="s">
        <v>81</v>
      </c>
      <c r="C26" s="8" t="s">
        <v>82</v>
      </c>
      <c r="D26" s="4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7" customWidth="1"/>
    <col min="2" max="2" width="30" customWidth="1"/>
    <col min="3" max="3" width="16" customWidth="1"/>
    <col min="4" max="4" width="26" customWidth="1"/>
    <col min="5" max="5" width="16" customWidth="1"/>
    <col min="6" max="6" width="22.08984375" customWidth="1"/>
  </cols>
  <sheetData>
    <row r="1" spans="1:6" x14ac:dyDescent="0.35">
      <c r="A1" s="3" t="s">
        <v>18</v>
      </c>
      <c r="B1" s="3" t="s">
        <v>19</v>
      </c>
      <c r="C1" s="3" t="s">
        <v>20</v>
      </c>
      <c r="D1" s="3" t="s">
        <v>24</v>
      </c>
      <c r="E1" s="15" t="s">
        <v>164</v>
      </c>
      <c r="F1" s="3" t="s">
        <v>21</v>
      </c>
    </row>
    <row r="2" spans="1:6" x14ac:dyDescent="0.35">
      <c r="A2" s="4">
        <v>1</v>
      </c>
      <c r="B2" s="4" t="s">
        <v>53</v>
      </c>
      <c r="C2" s="4" t="s">
        <v>54</v>
      </c>
      <c r="D2" s="4" t="s">
        <v>22</v>
      </c>
      <c r="E2" s="4" t="s">
        <v>25</v>
      </c>
      <c r="F2" s="4" t="s">
        <v>110</v>
      </c>
    </row>
    <row r="3" spans="1:6" x14ac:dyDescent="0.35">
      <c r="A3" s="4">
        <v>2</v>
      </c>
      <c r="B3" s="4" t="s">
        <v>47</v>
      </c>
      <c r="C3" s="4" t="s">
        <v>48</v>
      </c>
      <c r="D3" s="4" t="s">
        <v>108</v>
      </c>
      <c r="E3" s="4" t="s">
        <v>107</v>
      </c>
      <c r="F3" s="4" t="s">
        <v>95</v>
      </c>
    </row>
    <row r="4" spans="1:6" x14ac:dyDescent="0.35">
      <c r="A4" s="4">
        <v>3</v>
      </c>
      <c r="B4" s="4" t="s">
        <v>41</v>
      </c>
      <c r="C4" s="4" t="s">
        <v>42</v>
      </c>
      <c r="D4" s="4" t="s">
        <v>109</v>
      </c>
      <c r="E4" s="4" t="s">
        <v>232</v>
      </c>
      <c r="F4" s="4" t="s">
        <v>93</v>
      </c>
    </row>
    <row r="5" spans="1:6" x14ac:dyDescent="0.35">
      <c r="A5" s="4">
        <v>4</v>
      </c>
      <c r="B5" s="4" t="s">
        <v>45</v>
      </c>
      <c r="C5" s="4" t="s">
        <v>46</v>
      </c>
      <c r="D5" s="4" t="s">
        <v>109</v>
      </c>
      <c r="E5" s="4" t="s">
        <v>232</v>
      </c>
      <c r="F5" s="4" t="s">
        <v>86</v>
      </c>
    </row>
    <row r="6" spans="1:6" x14ac:dyDescent="0.35">
      <c r="A6" s="4">
        <v>5</v>
      </c>
      <c r="B6" s="4" t="s">
        <v>49</v>
      </c>
      <c r="C6" s="4" t="s">
        <v>50</v>
      </c>
      <c r="D6" s="4" t="s">
        <v>109</v>
      </c>
      <c r="E6" s="4" t="s">
        <v>232</v>
      </c>
      <c r="F6" s="4" t="s">
        <v>101</v>
      </c>
    </row>
    <row r="7" spans="1:6" x14ac:dyDescent="0.35">
      <c r="A7" s="4">
        <v>6</v>
      </c>
      <c r="B7" s="4" t="s">
        <v>55</v>
      </c>
      <c r="C7" s="4" t="s">
        <v>56</v>
      </c>
      <c r="D7" s="4" t="s">
        <v>109</v>
      </c>
      <c r="E7" s="4" t="s">
        <v>232</v>
      </c>
      <c r="F7" s="4" t="s">
        <v>88</v>
      </c>
    </row>
    <row r="8" spans="1:6" x14ac:dyDescent="0.35">
      <c r="A8" s="4">
        <v>7</v>
      </c>
      <c r="B8" s="4" t="s">
        <v>67</v>
      </c>
      <c r="C8" s="4" t="s">
        <v>68</v>
      </c>
      <c r="D8" s="4" t="s">
        <v>109</v>
      </c>
      <c r="E8" s="4" t="s">
        <v>232</v>
      </c>
      <c r="F8" s="4" t="s">
        <v>90</v>
      </c>
    </row>
    <row r="9" spans="1:6" x14ac:dyDescent="0.35">
      <c r="A9" s="14">
        <v>8</v>
      </c>
      <c r="B9" t="s">
        <v>77</v>
      </c>
      <c r="C9" t="s">
        <v>78</v>
      </c>
      <c r="D9" s="14" t="s">
        <v>111</v>
      </c>
      <c r="E9" s="14" t="s">
        <v>115</v>
      </c>
      <c r="F9" t="s">
        <v>100</v>
      </c>
    </row>
    <row r="10" spans="1:6" x14ac:dyDescent="0.35">
      <c r="A10" s="14">
        <v>9</v>
      </c>
      <c r="B10" t="s">
        <v>73</v>
      </c>
      <c r="C10" t="s">
        <v>74</v>
      </c>
      <c r="D10" s="14" t="s">
        <v>112</v>
      </c>
      <c r="E10" s="14" t="s">
        <v>116</v>
      </c>
      <c r="F10" t="s">
        <v>106</v>
      </c>
    </row>
    <row r="11" spans="1:6" x14ac:dyDescent="0.35">
      <c r="A11" s="14">
        <v>10</v>
      </c>
      <c r="B11" t="s">
        <v>71</v>
      </c>
      <c r="C11" t="s">
        <v>72</v>
      </c>
      <c r="D11" s="14" t="s">
        <v>113</v>
      </c>
      <c r="E11" s="14" t="s">
        <v>117</v>
      </c>
      <c r="F11" t="s">
        <v>98</v>
      </c>
    </row>
    <row r="12" spans="1:6" x14ac:dyDescent="0.35">
      <c r="A12" s="14">
        <v>11</v>
      </c>
      <c r="B12" t="s">
        <v>65</v>
      </c>
      <c r="C12" t="s">
        <v>66</v>
      </c>
      <c r="D12" s="14" t="s">
        <v>114</v>
      </c>
      <c r="E12" s="14" t="s">
        <v>118</v>
      </c>
      <c r="F12" t="s">
        <v>105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1" topLeftCell="A2" activePane="bottomLeft" state="frozen"/>
      <selection pane="bottomLeft" activeCell="D31" sqref="D31"/>
    </sheetView>
  </sheetViews>
  <sheetFormatPr defaultRowHeight="14.5" x14ac:dyDescent="0.35"/>
  <cols>
    <col min="1" max="1" width="24.08984375" bestFit="1" customWidth="1"/>
    <col min="2" max="2" width="19.6328125" bestFit="1" customWidth="1"/>
    <col min="3" max="3" width="5.81640625" bestFit="1" customWidth="1"/>
    <col min="4" max="4" width="30.81640625" bestFit="1" customWidth="1"/>
    <col min="5" max="5" width="11" bestFit="1" customWidth="1"/>
    <col min="6" max="6" width="12.81640625" bestFit="1" customWidth="1"/>
    <col min="7" max="7" width="5.90625" bestFit="1" customWidth="1"/>
  </cols>
  <sheetData>
    <row r="1" spans="1:7" x14ac:dyDescent="0.35">
      <c r="A1" s="10" t="s">
        <v>26</v>
      </c>
      <c r="B1" s="10" t="s">
        <v>27</v>
      </c>
      <c r="C1" s="10" t="s">
        <v>23</v>
      </c>
      <c r="D1" s="10" t="s">
        <v>19</v>
      </c>
      <c r="E1" s="10" t="s">
        <v>20</v>
      </c>
      <c r="F1" s="10" t="s">
        <v>24</v>
      </c>
      <c r="G1" s="10" t="s">
        <v>21</v>
      </c>
    </row>
    <row r="2" spans="1:7" x14ac:dyDescent="0.35">
      <c r="A2" s="16" t="s">
        <v>177</v>
      </c>
      <c r="B2" s="16" t="s">
        <v>178</v>
      </c>
      <c r="C2" s="17">
        <v>1</v>
      </c>
      <c r="D2" s="16" t="s">
        <v>41</v>
      </c>
      <c r="E2" s="16" t="s">
        <v>42</v>
      </c>
      <c r="F2" s="16" t="s">
        <v>28</v>
      </c>
      <c r="G2" s="16" t="s">
        <v>93</v>
      </c>
    </row>
    <row r="3" spans="1:7" x14ac:dyDescent="0.35">
      <c r="A3" s="16" t="s">
        <v>177</v>
      </c>
      <c r="B3" s="16" t="s">
        <v>178</v>
      </c>
      <c r="C3" s="17">
        <v>2</v>
      </c>
      <c r="D3" s="16" t="s">
        <v>58</v>
      </c>
      <c r="E3" s="16"/>
      <c r="F3" s="16" t="s">
        <v>29</v>
      </c>
      <c r="G3" s="16" t="s">
        <v>102</v>
      </c>
    </row>
    <row r="4" spans="1:7" x14ac:dyDescent="0.35">
      <c r="A4" s="16" t="s">
        <v>177</v>
      </c>
      <c r="B4" s="16" t="s">
        <v>178</v>
      </c>
      <c r="C4" s="17">
        <v>3</v>
      </c>
      <c r="D4" s="16" t="s">
        <v>176</v>
      </c>
      <c r="E4" s="16" t="s">
        <v>64</v>
      </c>
      <c r="F4" s="16" t="s">
        <v>29</v>
      </c>
      <c r="G4" s="16" t="s">
        <v>104</v>
      </c>
    </row>
    <row r="5" spans="1:7" x14ac:dyDescent="0.35">
      <c r="A5" s="16" t="s">
        <v>177</v>
      </c>
      <c r="B5" s="16" t="s">
        <v>178</v>
      </c>
      <c r="C5" s="17">
        <v>4</v>
      </c>
      <c r="D5" s="16" t="s">
        <v>57</v>
      </c>
      <c r="E5" s="16"/>
      <c r="F5" s="16" t="s">
        <v>29</v>
      </c>
      <c r="G5" s="16" t="s">
        <v>94</v>
      </c>
    </row>
    <row r="6" spans="1:7" x14ac:dyDescent="0.35">
      <c r="A6" s="16" t="s">
        <v>177</v>
      </c>
      <c r="B6" s="16" t="s">
        <v>178</v>
      </c>
      <c r="C6" s="17">
        <v>5</v>
      </c>
      <c r="D6" s="16" t="s">
        <v>65</v>
      </c>
      <c r="E6" s="16" t="s">
        <v>66</v>
      </c>
      <c r="F6" s="16" t="s">
        <v>29</v>
      </c>
      <c r="G6" s="16" t="s">
        <v>105</v>
      </c>
    </row>
    <row r="7" spans="1:7" x14ac:dyDescent="0.35">
      <c r="A7" s="16" t="s">
        <v>179</v>
      </c>
      <c r="B7" s="16" t="s">
        <v>180</v>
      </c>
      <c r="C7" s="17">
        <v>1</v>
      </c>
      <c r="D7" s="16" t="s">
        <v>69</v>
      </c>
      <c r="E7" s="16" t="s">
        <v>70</v>
      </c>
      <c r="F7" s="16" t="s">
        <v>28</v>
      </c>
      <c r="G7" s="16" t="s">
        <v>97</v>
      </c>
    </row>
    <row r="8" spans="1:7" x14ac:dyDescent="0.35">
      <c r="A8" s="16" t="s">
        <v>179</v>
      </c>
      <c r="B8" s="16" t="s">
        <v>180</v>
      </c>
      <c r="C8" s="17">
        <v>2</v>
      </c>
      <c r="D8" s="16" t="s">
        <v>51</v>
      </c>
      <c r="E8" s="16" t="s">
        <v>52</v>
      </c>
      <c r="F8" s="16" t="s">
        <v>29</v>
      </c>
      <c r="G8" s="16" t="s">
        <v>87</v>
      </c>
    </row>
    <row r="9" spans="1:7" x14ac:dyDescent="0.35">
      <c r="A9" s="16" t="s">
        <v>181</v>
      </c>
      <c r="B9" s="16" t="s">
        <v>182</v>
      </c>
      <c r="C9" s="17">
        <v>1</v>
      </c>
      <c r="D9" s="16" t="s">
        <v>75</v>
      </c>
      <c r="E9" s="16" t="s">
        <v>76</v>
      </c>
      <c r="F9" s="16" t="s">
        <v>28</v>
      </c>
      <c r="G9" s="16" t="s">
        <v>99</v>
      </c>
    </row>
    <row r="10" spans="1:7" x14ac:dyDescent="0.35">
      <c r="A10" s="16" t="s">
        <v>181</v>
      </c>
      <c r="B10" s="16" t="s">
        <v>182</v>
      </c>
      <c r="C10" s="17">
        <v>2</v>
      </c>
      <c r="D10" s="16" t="s">
        <v>79</v>
      </c>
      <c r="E10" s="16" t="s">
        <v>80</v>
      </c>
      <c r="F10" s="16" t="s">
        <v>29</v>
      </c>
      <c r="G10" s="16" t="s">
        <v>91</v>
      </c>
    </row>
    <row r="11" spans="1:7" x14ac:dyDescent="0.35">
      <c r="A11" s="16" t="s">
        <v>183</v>
      </c>
      <c r="B11" s="16" t="s">
        <v>184</v>
      </c>
      <c r="C11" s="17">
        <v>1</v>
      </c>
      <c r="D11" s="16" t="s">
        <v>59</v>
      </c>
      <c r="E11" s="16" t="s">
        <v>60</v>
      </c>
      <c r="F11" s="16" t="s">
        <v>28</v>
      </c>
      <c r="G11" s="16" t="s">
        <v>89</v>
      </c>
    </row>
    <row r="12" spans="1:7" x14ac:dyDescent="0.35">
      <c r="A12" s="16" t="s">
        <v>183</v>
      </c>
      <c r="B12" s="16" t="s">
        <v>184</v>
      </c>
      <c r="C12" s="17">
        <v>2</v>
      </c>
      <c r="D12" s="16" t="s">
        <v>61</v>
      </c>
      <c r="E12" s="16" t="s">
        <v>238</v>
      </c>
      <c r="F12" s="16" t="s">
        <v>29</v>
      </c>
      <c r="G12" s="16" t="s">
        <v>96</v>
      </c>
    </row>
    <row r="13" spans="1:7" x14ac:dyDescent="0.35">
      <c r="A13" s="16" t="s">
        <v>183</v>
      </c>
      <c r="B13" s="16" t="s">
        <v>184</v>
      </c>
      <c r="C13" s="17">
        <v>3</v>
      </c>
      <c r="D13" s="16" t="s">
        <v>39</v>
      </c>
      <c r="E13" s="16" t="s">
        <v>40</v>
      </c>
      <c r="F13" s="16" t="s">
        <v>29</v>
      </c>
      <c r="G13" s="16" t="s">
        <v>84</v>
      </c>
    </row>
    <row r="14" spans="1:7" x14ac:dyDescent="0.35">
      <c r="A14" s="16" t="s">
        <v>183</v>
      </c>
      <c r="B14" s="16" t="s">
        <v>184</v>
      </c>
      <c r="C14" s="17">
        <v>4</v>
      </c>
      <c r="D14" s="16" t="s">
        <v>37</v>
      </c>
      <c r="E14" s="16" t="s">
        <v>38</v>
      </c>
      <c r="F14" s="16" t="s">
        <v>29</v>
      </c>
      <c r="G14" s="16" t="s">
        <v>83</v>
      </c>
    </row>
    <row r="15" spans="1:7" x14ac:dyDescent="0.35">
      <c r="A15" s="16" t="s">
        <v>185</v>
      </c>
      <c r="B15" s="16" t="s">
        <v>186</v>
      </c>
      <c r="C15" s="17">
        <v>1</v>
      </c>
      <c r="D15" s="16" t="s">
        <v>43</v>
      </c>
      <c r="E15" s="16" t="s">
        <v>44</v>
      </c>
      <c r="F15" s="16" t="s">
        <v>28</v>
      </c>
      <c r="G15" s="16" t="s">
        <v>85</v>
      </c>
    </row>
    <row r="16" spans="1:7" x14ac:dyDescent="0.35">
      <c r="A16" s="16" t="s">
        <v>185</v>
      </c>
      <c r="B16" s="16" t="s">
        <v>186</v>
      </c>
      <c r="C16" s="17">
        <v>2</v>
      </c>
      <c r="D16" s="16" t="s">
        <v>81</v>
      </c>
      <c r="E16" s="16" t="s">
        <v>82</v>
      </c>
      <c r="F16" s="16" t="s">
        <v>29</v>
      </c>
      <c r="G16" s="16" t="s">
        <v>92</v>
      </c>
    </row>
    <row r="17" spans="1:7" ht="15" thickBot="1" x14ac:dyDescent="0.4">
      <c r="A17" s="16" t="s">
        <v>187</v>
      </c>
      <c r="B17" s="16" t="s">
        <v>188</v>
      </c>
      <c r="C17" s="17">
        <v>1</v>
      </c>
      <c r="D17" s="7" t="s">
        <v>62</v>
      </c>
      <c r="E17" s="16" t="s">
        <v>63</v>
      </c>
      <c r="F17" s="16" t="s">
        <v>28</v>
      </c>
      <c r="G17" s="16" t="s">
        <v>103</v>
      </c>
    </row>
    <row r="18" spans="1:7" x14ac:dyDescent="0.35">
      <c r="A18" s="16" t="s">
        <v>187</v>
      </c>
      <c r="B18" s="16" t="s">
        <v>188</v>
      </c>
      <c r="C18" s="17">
        <v>2</v>
      </c>
      <c r="D18" s="16" t="s">
        <v>73</v>
      </c>
      <c r="E18" s="16" t="s">
        <v>74</v>
      </c>
      <c r="F18" s="16" t="s">
        <v>29</v>
      </c>
      <c r="G18" s="16" t="s">
        <v>106</v>
      </c>
    </row>
    <row r="19" spans="1:7" x14ac:dyDescent="0.35">
      <c r="A19" s="16" t="s">
        <v>187</v>
      </c>
      <c r="B19" s="16" t="s">
        <v>188</v>
      </c>
      <c r="C19" s="17">
        <v>3</v>
      </c>
      <c r="D19" s="16" t="s">
        <v>75</v>
      </c>
      <c r="E19" s="16" t="s">
        <v>76</v>
      </c>
      <c r="F19" s="16" t="s">
        <v>29</v>
      </c>
      <c r="G19" s="16" t="s">
        <v>99</v>
      </c>
    </row>
    <row r="20" spans="1:7" x14ac:dyDescent="0.35">
      <c r="A20" s="16" t="s">
        <v>189</v>
      </c>
      <c r="B20" s="16" t="s">
        <v>190</v>
      </c>
      <c r="C20" s="17">
        <v>1</v>
      </c>
      <c r="D20" s="16" t="s">
        <v>69</v>
      </c>
      <c r="E20" s="16" t="s">
        <v>70</v>
      </c>
      <c r="F20" s="16" t="s">
        <v>28</v>
      </c>
      <c r="G20" s="16" t="s">
        <v>97</v>
      </c>
    </row>
    <row r="21" spans="1:7" x14ac:dyDescent="0.35">
      <c r="A21" s="16" t="s">
        <v>189</v>
      </c>
      <c r="B21" s="16" t="s">
        <v>190</v>
      </c>
      <c r="C21" s="17">
        <v>2</v>
      </c>
      <c r="D21" s="16" t="s">
        <v>81</v>
      </c>
      <c r="E21" s="16" t="s">
        <v>82</v>
      </c>
      <c r="F21" s="16" t="s">
        <v>29</v>
      </c>
      <c r="G21" s="16" t="s">
        <v>92</v>
      </c>
    </row>
    <row r="22" spans="1:7" x14ac:dyDescent="0.35">
      <c r="A22" s="16" t="s">
        <v>189</v>
      </c>
      <c r="B22" s="16" t="s">
        <v>190</v>
      </c>
      <c r="C22" s="17">
        <v>3</v>
      </c>
      <c r="D22" s="16" t="s">
        <v>37</v>
      </c>
      <c r="E22" s="16" t="s">
        <v>38</v>
      </c>
      <c r="F22" s="16" t="s">
        <v>29</v>
      </c>
      <c r="G22" s="1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65A6-3A26-40AA-B771-10510B3DEE98}">
  <dimension ref="A1:H33"/>
  <sheetViews>
    <sheetView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7" customWidth="1"/>
    <col min="2" max="2" width="30" customWidth="1"/>
    <col min="3" max="3" width="16" customWidth="1"/>
    <col min="4" max="4" width="35.81640625" customWidth="1"/>
    <col min="5" max="5" width="22.7265625" customWidth="1"/>
    <col min="6" max="6" width="22.08984375" customWidth="1"/>
  </cols>
  <sheetData>
    <row r="1" spans="1:8" x14ac:dyDescent="0.35">
      <c r="A1" s="3" t="s">
        <v>18</v>
      </c>
      <c r="B1" s="3" t="s">
        <v>19</v>
      </c>
      <c r="C1" s="3" t="s">
        <v>20</v>
      </c>
      <c r="D1" s="3" t="s">
        <v>24</v>
      </c>
      <c r="E1" s="15" t="s">
        <v>164</v>
      </c>
      <c r="F1" s="3" t="s">
        <v>21</v>
      </c>
    </row>
    <row r="2" spans="1:8" x14ac:dyDescent="0.35">
      <c r="A2" s="22" t="s">
        <v>303</v>
      </c>
      <c r="B2" t="s">
        <v>239</v>
      </c>
      <c r="C2" t="s">
        <v>240</v>
      </c>
      <c r="D2" t="s">
        <v>335</v>
      </c>
      <c r="E2" t="s">
        <v>336</v>
      </c>
      <c r="F2" s="4" t="str">
        <f>G2&amp;H2</f>
        <v>jinhoa.jpg</v>
      </c>
      <c r="G2" t="s">
        <v>355</v>
      </c>
      <c r="H2" t="s">
        <v>354</v>
      </c>
    </row>
    <row r="3" spans="1:8" x14ac:dyDescent="0.35">
      <c r="A3" s="22" t="s">
        <v>304</v>
      </c>
      <c r="B3" t="s">
        <v>241</v>
      </c>
      <c r="C3" t="s">
        <v>272</v>
      </c>
      <c r="D3" t="s">
        <v>337</v>
      </c>
      <c r="E3" t="s">
        <v>338</v>
      </c>
      <c r="F3" s="4" t="str">
        <f t="shared" ref="F3:F33" si="0">G3&amp;H3</f>
        <v>kathy.jpg</v>
      </c>
      <c r="G3" t="s">
        <v>356</v>
      </c>
      <c r="H3" t="s">
        <v>354</v>
      </c>
    </row>
    <row r="4" spans="1:8" x14ac:dyDescent="0.35">
      <c r="A4" s="22" t="s">
        <v>305</v>
      </c>
      <c r="B4" t="s">
        <v>242</v>
      </c>
      <c r="C4" t="s">
        <v>273</v>
      </c>
      <c r="D4" t="s">
        <v>339</v>
      </c>
      <c r="E4" t="s">
        <v>340</v>
      </c>
      <c r="F4" s="4" t="str">
        <f t="shared" si="0"/>
        <v>aceline.jpg</v>
      </c>
      <c r="G4" t="s">
        <v>357</v>
      </c>
      <c r="H4" t="s">
        <v>354</v>
      </c>
    </row>
    <row r="5" spans="1:8" x14ac:dyDescent="0.35">
      <c r="A5" s="22" t="s">
        <v>306</v>
      </c>
      <c r="B5" t="s">
        <v>243</v>
      </c>
      <c r="C5" t="s">
        <v>274</v>
      </c>
      <c r="D5" t="s">
        <v>341</v>
      </c>
      <c r="F5" s="4" t="str">
        <f t="shared" si="0"/>
        <v>agnes.jpg</v>
      </c>
      <c r="G5" t="s">
        <v>358</v>
      </c>
      <c r="H5" t="s">
        <v>354</v>
      </c>
    </row>
    <row r="6" spans="1:8" x14ac:dyDescent="0.35">
      <c r="A6" s="22" t="s">
        <v>307</v>
      </c>
      <c r="B6" t="s">
        <v>244</v>
      </c>
      <c r="C6" t="s">
        <v>275</v>
      </c>
      <c r="D6" t="s">
        <v>342</v>
      </c>
      <c r="F6" s="4" t="str">
        <f t="shared" si="0"/>
        <v>bryan.jpg</v>
      </c>
      <c r="G6" t="s">
        <v>359</v>
      </c>
      <c r="H6" t="s">
        <v>354</v>
      </c>
    </row>
    <row r="7" spans="1:8" x14ac:dyDescent="0.35">
      <c r="A7" s="22" t="s">
        <v>308</v>
      </c>
      <c r="B7" t="s">
        <v>245</v>
      </c>
      <c r="C7" t="s">
        <v>276</v>
      </c>
      <c r="D7" t="s">
        <v>343</v>
      </c>
      <c r="F7" s="4" t="str">
        <f t="shared" si="0"/>
        <v>yinyee.jpg</v>
      </c>
      <c r="G7" t="s">
        <v>360</v>
      </c>
      <c r="H7" t="s">
        <v>354</v>
      </c>
    </row>
    <row r="8" spans="1:8" x14ac:dyDescent="0.35">
      <c r="A8" s="22" t="s">
        <v>309</v>
      </c>
      <c r="B8" t="s">
        <v>246</v>
      </c>
      <c r="C8" t="s">
        <v>277</v>
      </c>
      <c r="D8" t="s">
        <v>344</v>
      </c>
      <c r="F8" s="4" t="str">
        <f t="shared" si="0"/>
        <v>jingyi.jpg</v>
      </c>
      <c r="G8" t="s">
        <v>361</v>
      </c>
      <c r="H8" t="s">
        <v>354</v>
      </c>
    </row>
    <row r="9" spans="1:8" x14ac:dyDescent="0.35">
      <c r="A9" s="22" t="s">
        <v>310</v>
      </c>
      <c r="B9" t="s">
        <v>247</v>
      </c>
      <c r="C9" t="s">
        <v>278</v>
      </c>
      <c r="D9" t="s">
        <v>345</v>
      </c>
      <c r="F9" s="4" t="str">
        <f t="shared" si="0"/>
        <v>chihwee.jpg</v>
      </c>
      <c r="G9" t="s">
        <v>362</v>
      </c>
      <c r="H9" t="s">
        <v>354</v>
      </c>
    </row>
    <row r="10" spans="1:8" x14ac:dyDescent="0.35">
      <c r="A10" s="22" t="s">
        <v>311</v>
      </c>
      <c r="B10" t="s">
        <v>248</v>
      </c>
      <c r="C10" t="s">
        <v>279</v>
      </c>
      <c r="D10" t="s">
        <v>346</v>
      </c>
      <c r="F10" s="4" t="str">
        <f t="shared" si="0"/>
        <v>crystal.jpg</v>
      </c>
      <c r="G10" t="s">
        <v>363</v>
      </c>
      <c r="H10" t="s">
        <v>354</v>
      </c>
    </row>
    <row r="11" spans="1:8" x14ac:dyDescent="0.35">
      <c r="A11" s="22" t="s">
        <v>312</v>
      </c>
      <c r="B11" t="s">
        <v>249</v>
      </c>
      <c r="C11" t="s">
        <v>280</v>
      </c>
      <c r="D11" t="s">
        <v>347</v>
      </c>
      <c r="F11" s="4" t="str">
        <f t="shared" si="0"/>
        <v>peiyuen.jpg</v>
      </c>
      <c r="G11" t="s">
        <v>364</v>
      </c>
      <c r="H11" t="s">
        <v>354</v>
      </c>
    </row>
    <row r="12" spans="1:8" x14ac:dyDescent="0.35">
      <c r="A12" s="22" t="s">
        <v>313</v>
      </c>
      <c r="B12" t="s">
        <v>250</v>
      </c>
      <c r="C12" t="s">
        <v>281</v>
      </c>
      <c r="D12" t="s">
        <v>348</v>
      </c>
      <c r="F12" s="4" t="str">
        <f t="shared" si="0"/>
        <v>doran.jpg</v>
      </c>
      <c r="G12" t="s">
        <v>365</v>
      </c>
      <c r="H12" t="s">
        <v>354</v>
      </c>
    </row>
    <row r="13" spans="1:8" x14ac:dyDescent="0.35">
      <c r="A13" s="22" t="s">
        <v>314</v>
      </c>
      <c r="B13" t="s">
        <v>251</v>
      </c>
      <c r="C13" t="s">
        <v>282</v>
      </c>
      <c r="D13" t="s">
        <v>349</v>
      </c>
      <c r="F13" s="4" t="str">
        <f t="shared" si="0"/>
        <v>alicia.jpg</v>
      </c>
      <c r="G13" t="s">
        <v>366</v>
      </c>
      <c r="H13" t="s">
        <v>354</v>
      </c>
    </row>
    <row r="14" spans="1:8" x14ac:dyDescent="0.35">
      <c r="A14" s="22" t="s">
        <v>315</v>
      </c>
      <c r="B14" t="s">
        <v>252</v>
      </c>
      <c r="C14" t="s">
        <v>283</v>
      </c>
      <c r="D14" t="s">
        <v>350</v>
      </c>
      <c r="E14" t="s">
        <v>351</v>
      </c>
      <c r="F14" s="4" t="str">
        <f t="shared" si="0"/>
        <v>keongeng.jpg</v>
      </c>
      <c r="G14" t="s">
        <v>367</v>
      </c>
      <c r="H14" t="s">
        <v>354</v>
      </c>
    </row>
    <row r="15" spans="1:8" x14ac:dyDescent="0.35">
      <c r="A15" s="22" t="s">
        <v>316</v>
      </c>
      <c r="B15" t="s">
        <v>253</v>
      </c>
      <c r="C15" t="s">
        <v>284</v>
      </c>
      <c r="D15" t="s">
        <v>350</v>
      </c>
      <c r="E15" t="s">
        <v>351</v>
      </c>
      <c r="F15" s="4" t="str">
        <f t="shared" si="0"/>
        <v>siokteng.jpg</v>
      </c>
      <c r="G15" t="s">
        <v>368</v>
      </c>
      <c r="H15" t="s">
        <v>354</v>
      </c>
    </row>
    <row r="16" spans="1:8" x14ac:dyDescent="0.35">
      <c r="A16" s="22" t="s">
        <v>317</v>
      </c>
      <c r="B16" t="s">
        <v>254</v>
      </c>
      <c r="C16" t="s">
        <v>285</v>
      </c>
      <c r="D16" t="s">
        <v>350</v>
      </c>
      <c r="E16" t="s">
        <v>351</v>
      </c>
      <c r="F16" s="4" t="str">
        <f t="shared" si="0"/>
        <v>vivian.jpg</v>
      </c>
      <c r="G16" t="s">
        <v>369</v>
      </c>
      <c r="H16" t="s">
        <v>354</v>
      </c>
    </row>
    <row r="17" spans="1:8" x14ac:dyDescent="0.35">
      <c r="A17" s="22" t="s">
        <v>318</v>
      </c>
      <c r="B17" t="s">
        <v>255</v>
      </c>
      <c r="C17" t="s">
        <v>286</v>
      </c>
      <c r="D17" t="s">
        <v>350</v>
      </c>
      <c r="E17" t="s">
        <v>351</v>
      </c>
      <c r="F17" s="4" t="str">
        <f t="shared" si="0"/>
        <v>bonteck.jpg</v>
      </c>
      <c r="G17" t="s">
        <v>370</v>
      </c>
      <c r="H17" t="s">
        <v>354</v>
      </c>
    </row>
    <row r="18" spans="1:8" x14ac:dyDescent="0.35">
      <c r="A18" s="22" t="s">
        <v>319</v>
      </c>
      <c r="B18" t="s">
        <v>256</v>
      </c>
      <c r="C18" t="s">
        <v>287</v>
      </c>
      <c r="D18" t="s">
        <v>350</v>
      </c>
      <c r="E18" t="s">
        <v>351</v>
      </c>
      <c r="F18" s="4" t="str">
        <f t="shared" si="0"/>
        <v>chinmee.jpg</v>
      </c>
      <c r="G18" t="s">
        <v>371</v>
      </c>
      <c r="H18" t="s">
        <v>354</v>
      </c>
    </row>
    <row r="19" spans="1:8" x14ac:dyDescent="0.35">
      <c r="A19" s="22" t="s">
        <v>320</v>
      </c>
      <c r="B19" t="s">
        <v>257</v>
      </c>
      <c r="C19" t="s">
        <v>288</v>
      </c>
      <c r="D19" t="s">
        <v>350</v>
      </c>
      <c r="E19" t="s">
        <v>351</v>
      </c>
      <c r="F19" s="4" t="str">
        <f t="shared" si="0"/>
        <v>soonmeng.jpg</v>
      </c>
      <c r="G19" t="s">
        <v>372</v>
      </c>
      <c r="H19" t="s">
        <v>354</v>
      </c>
    </row>
    <row r="20" spans="1:8" x14ac:dyDescent="0.35">
      <c r="A20" s="22" t="s">
        <v>321</v>
      </c>
      <c r="B20" t="s">
        <v>258</v>
      </c>
      <c r="C20" t="s">
        <v>289</v>
      </c>
      <c r="D20" t="s">
        <v>350</v>
      </c>
      <c r="E20" t="s">
        <v>351</v>
      </c>
      <c r="F20" s="4" t="str">
        <f t="shared" si="0"/>
        <v>yuehong.jpg</v>
      </c>
      <c r="G20" t="s">
        <v>373</v>
      </c>
      <c r="H20" t="s">
        <v>354</v>
      </c>
    </row>
    <row r="21" spans="1:8" x14ac:dyDescent="0.35">
      <c r="A21" s="22" t="s">
        <v>322</v>
      </c>
      <c r="B21" t="s">
        <v>259</v>
      </c>
      <c r="C21" t="s">
        <v>290</v>
      </c>
      <c r="D21" t="s">
        <v>350</v>
      </c>
      <c r="E21" t="s">
        <v>351</v>
      </c>
      <c r="F21" s="4" t="str">
        <f t="shared" si="0"/>
        <v>choejang.jpg</v>
      </c>
      <c r="G21" t="s">
        <v>374</v>
      </c>
      <c r="H21" t="s">
        <v>354</v>
      </c>
    </row>
    <row r="22" spans="1:8" x14ac:dyDescent="0.35">
      <c r="A22" s="22" t="s">
        <v>323</v>
      </c>
      <c r="B22" t="s">
        <v>260</v>
      </c>
      <c r="C22" t="s">
        <v>291</v>
      </c>
      <c r="D22" t="s">
        <v>350</v>
      </c>
      <c r="E22" t="s">
        <v>351</v>
      </c>
      <c r="F22" s="4" t="str">
        <f t="shared" si="0"/>
        <v>meichia.jpg</v>
      </c>
      <c r="G22" t="s">
        <v>375</v>
      </c>
      <c r="H22" t="s">
        <v>354</v>
      </c>
    </row>
    <row r="23" spans="1:8" x14ac:dyDescent="0.35">
      <c r="A23" s="22" t="s">
        <v>324</v>
      </c>
      <c r="B23" t="s">
        <v>261</v>
      </c>
      <c r="C23" t="s">
        <v>292</v>
      </c>
      <c r="D23" t="s">
        <v>350</v>
      </c>
      <c r="E23" t="s">
        <v>351</v>
      </c>
      <c r="F23" s="4" t="str">
        <f t="shared" si="0"/>
        <v>gekhee.jpg</v>
      </c>
      <c r="G23" t="s">
        <v>376</v>
      </c>
      <c r="H23" t="s">
        <v>354</v>
      </c>
    </row>
    <row r="24" spans="1:8" x14ac:dyDescent="0.35">
      <c r="A24" s="22" t="s">
        <v>325</v>
      </c>
      <c r="B24" t="s">
        <v>262</v>
      </c>
      <c r="C24" t="s">
        <v>293</v>
      </c>
      <c r="D24" t="s">
        <v>350</v>
      </c>
      <c r="E24" t="s">
        <v>351</v>
      </c>
      <c r="F24" s="4" t="str">
        <f t="shared" si="0"/>
        <v>aimee.jpg</v>
      </c>
      <c r="G24" t="s">
        <v>377</v>
      </c>
      <c r="H24" t="s">
        <v>354</v>
      </c>
    </row>
    <row r="25" spans="1:8" x14ac:dyDescent="0.35">
      <c r="A25" s="22" t="s">
        <v>326</v>
      </c>
      <c r="B25" t="s">
        <v>263</v>
      </c>
      <c r="C25" t="s">
        <v>294</v>
      </c>
      <c r="D25" t="s">
        <v>352</v>
      </c>
      <c r="E25" s="23" t="s">
        <v>353</v>
      </c>
      <c r="F25" s="4" t="str">
        <f t="shared" si="0"/>
        <v>geokchin.jpg</v>
      </c>
      <c r="G25" t="s">
        <v>378</v>
      </c>
      <c r="H25" t="s">
        <v>354</v>
      </c>
    </row>
    <row r="26" spans="1:8" x14ac:dyDescent="0.35">
      <c r="A26" s="22" t="s">
        <v>327</v>
      </c>
      <c r="B26" t="s">
        <v>264</v>
      </c>
      <c r="C26" t="s">
        <v>295</v>
      </c>
      <c r="D26" t="s">
        <v>352</v>
      </c>
      <c r="E26" s="23" t="s">
        <v>353</v>
      </c>
      <c r="F26" s="4" t="str">
        <f t="shared" si="0"/>
        <v>laysiew.jpg</v>
      </c>
      <c r="G26" t="s">
        <v>379</v>
      </c>
      <c r="H26" t="s">
        <v>354</v>
      </c>
    </row>
    <row r="27" spans="1:8" x14ac:dyDescent="0.35">
      <c r="A27" s="22" t="s">
        <v>328</v>
      </c>
      <c r="B27" t="s">
        <v>265</v>
      </c>
      <c r="C27" t="s">
        <v>296</v>
      </c>
      <c r="D27" t="s">
        <v>352</v>
      </c>
      <c r="E27" s="23" t="s">
        <v>353</v>
      </c>
      <c r="F27" s="4" t="str">
        <f t="shared" si="0"/>
        <v>waiyee.jpg</v>
      </c>
      <c r="G27" t="s">
        <v>380</v>
      </c>
      <c r="H27" t="s">
        <v>354</v>
      </c>
    </row>
    <row r="28" spans="1:8" x14ac:dyDescent="0.35">
      <c r="A28" s="22" t="s">
        <v>329</v>
      </c>
      <c r="B28" t="s">
        <v>266</v>
      </c>
      <c r="C28" t="s">
        <v>297</v>
      </c>
      <c r="D28" t="s">
        <v>352</v>
      </c>
      <c r="E28" s="23" t="s">
        <v>353</v>
      </c>
      <c r="F28" s="4" t="str">
        <f t="shared" si="0"/>
        <v>carol.jpg</v>
      </c>
      <c r="G28" t="s">
        <v>381</v>
      </c>
      <c r="H28" t="s">
        <v>354</v>
      </c>
    </row>
    <row r="29" spans="1:8" x14ac:dyDescent="0.35">
      <c r="A29" s="22" t="s">
        <v>330</v>
      </c>
      <c r="B29" t="s">
        <v>267</v>
      </c>
      <c r="C29" t="s">
        <v>298</v>
      </c>
      <c r="D29" t="s">
        <v>352</v>
      </c>
      <c r="E29" s="23" t="s">
        <v>353</v>
      </c>
      <c r="F29" s="4" t="str">
        <f t="shared" si="0"/>
        <v>yokewant.jpg</v>
      </c>
      <c r="G29" t="s">
        <v>382</v>
      </c>
      <c r="H29" t="s">
        <v>354</v>
      </c>
    </row>
    <row r="30" spans="1:8" x14ac:dyDescent="0.35">
      <c r="A30" s="22" t="s">
        <v>331</v>
      </c>
      <c r="B30" t="s">
        <v>268</v>
      </c>
      <c r="C30" t="s">
        <v>299</v>
      </c>
      <c r="D30" t="s">
        <v>352</v>
      </c>
      <c r="E30" s="23" t="s">
        <v>353</v>
      </c>
      <c r="F30" s="4" t="str">
        <f t="shared" si="0"/>
        <v>pohcheng.jpg</v>
      </c>
      <c r="G30" t="s">
        <v>383</v>
      </c>
      <c r="H30" t="s">
        <v>354</v>
      </c>
    </row>
    <row r="31" spans="1:8" x14ac:dyDescent="0.35">
      <c r="A31" s="22" t="s">
        <v>332</v>
      </c>
      <c r="B31" t="s">
        <v>269</v>
      </c>
      <c r="C31" t="s">
        <v>300</v>
      </c>
      <c r="D31" t="s">
        <v>352</v>
      </c>
      <c r="E31" s="23" t="s">
        <v>353</v>
      </c>
      <c r="F31" s="4" t="str">
        <f t="shared" si="0"/>
        <v>geoklan.jpg</v>
      </c>
      <c r="G31" t="s">
        <v>384</v>
      </c>
      <c r="H31" t="s">
        <v>354</v>
      </c>
    </row>
    <row r="32" spans="1:8" x14ac:dyDescent="0.35">
      <c r="A32" s="22" t="s">
        <v>333</v>
      </c>
      <c r="B32" t="s">
        <v>270</v>
      </c>
      <c r="C32" t="s">
        <v>301</v>
      </c>
      <c r="D32" t="s">
        <v>352</v>
      </c>
      <c r="E32" s="23" t="s">
        <v>353</v>
      </c>
      <c r="F32" s="4" t="str">
        <f t="shared" si="0"/>
        <v>laichee.jpg</v>
      </c>
      <c r="G32" t="s">
        <v>385</v>
      </c>
      <c r="H32" t="s">
        <v>354</v>
      </c>
    </row>
    <row r="33" spans="1:8" x14ac:dyDescent="0.35">
      <c r="A33" s="22" t="s">
        <v>334</v>
      </c>
      <c r="B33" t="s">
        <v>271</v>
      </c>
      <c r="C33" t="s">
        <v>302</v>
      </c>
      <c r="D33" t="s">
        <v>352</v>
      </c>
      <c r="E33" s="23" t="s">
        <v>353</v>
      </c>
      <c r="F33" s="4" t="str">
        <f t="shared" si="0"/>
        <v>beechoo.jpg</v>
      </c>
      <c r="G33" t="s">
        <v>386</v>
      </c>
      <c r="H33" t="s">
        <v>354</v>
      </c>
    </row>
  </sheetData>
  <phoneticPr fontId="12" type="noConversion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6" customWidth="1"/>
    <col min="2" max="2" width="90" customWidth="1"/>
  </cols>
  <sheetData>
    <row r="1" spans="1:2" x14ac:dyDescent="0.35">
      <c r="A1" s="3" t="s">
        <v>33</v>
      </c>
      <c r="B1" s="3" t="s">
        <v>34</v>
      </c>
    </row>
    <row r="2" spans="1:2" x14ac:dyDescent="0.35">
      <c r="A2" s="4" t="s">
        <v>35</v>
      </c>
      <c r="B2" s="18">
        <f ca="1">TODAY()</f>
        <v>46314</v>
      </c>
    </row>
    <row r="3" spans="1:2" x14ac:dyDescent="0.35">
      <c r="A3" s="4" t="s">
        <v>36</v>
      </c>
      <c r="B3" s="4" t="s">
        <v>233</v>
      </c>
    </row>
    <row r="4" spans="1:2" x14ac:dyDescent="0.35">
      <c r="A4" t="s">
        <v>191</v>
      </c>
      <c r="B4" t="s">
        <v>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e74905-0e41-4c1c-a9e9-0b0ca4a779e3">
      <Terms xmlns="http://schemas.microsoft.com/office/infopath/2007/PartnerControls"/>
    </lcf76f155ced4ddcb4097134ff3c332f>
    <TaxCatchAll xmlns="b731a6fc-fd02-48a8-bb42-25eb2962d7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DF30E65B6EF43A4A87751785D6134" ma:contentTypeVersion="16" ma:contentTypeDescription="Create a new document." ma:contentTypeScope="" ma:versionID="bb82854400ecd26b0783e1c1c0c001ad">
  <xsd:schema xmlns:xsd="http://www.w3.org/2001/XMLSchema" xmlns:xs="http://www.w3.org/2001/XMLSchema" xmlns:p="http://schemas.microsoft.com/office/2006/metadata/properties" xmlns:ns2="bde74905-0e41-4c1c-a9e9-0b0ca4a779e3" xmlns:ns3="b731a6fc-fd02-48a8-bb42-25eb2962d7a5" targetNamespace="http://schemas.microsoft.com/office/2006/metadata/properties" ma:root="true" ma:fieldsID="e524ce3f3da87e709475b3d7b1de4709" ns2:_="" ns3:_="">
    <xsd:import namespace="bde74905-0e41-4c1c-a9e9-0b0ca4a779e3"/>
    <xsd:import namespace="b731a6fc-fd02-48a8-bb42-25eb2962d7a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74905-0e41-4c1c-a9e9-0b0ca4a779e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ecc62d-d8a4-4a26-8ea1-c0fc32645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a6fc-fd02-48a8-bb42-25eb2962d7a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4ae1904-57c3-43b2-b2a7-ab5fee76b1f9}" ma:internalName="TaxCatchAll" ma:showField="CatchAllData" ma:web="b731a6fc-fd02-48a8-bb42-25eb2962d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15039C-A0B7-409A-B9B2-F0CB01DB9AFE}">
  <ds:schemaRefs>
    <ds:schemaRef ds:uri="http://schemas.microsoft.com/office/2006/metadata/properties"/>
    <ds:schemaRef ds:uri="http://www.w3.org/2000/xmlns/"/>
    <ds:schemaRef ds:uri="bde74905-0e41-4c1c-a9e9-0b0ca4a779e3"/>
    <ds:schemaRef ds:uri="http://schemas.microsoft.com/office/infopath/2007/PartnerControls"/>
    <ds:schemaRef ds:uri="b731a6fc-fd02-48a8-bb42-25eb2962d7a5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40BF6C7-2D4E-4A6F-80DC-45FE9A6AC6E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de74905-0e41-4c1c-a9e9-0b0ca4a779e3"/>
    <ds:schemaRef ds:uri="b731a6fc-fd02-48a8-bb42-25eb2962d7a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7399F2-0FCF-47AB-8CCA-BE20605336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1_Events</vt:lpstr>
      <vt:lpstr>2_Committee</vt:lpstr>
      <vt:lpstr>3_OfficeBearers</vt:lpstr>
      <vt:lpstr>4_SubCommittees</vt:lpstr>
      <vt:lpstr>5_Employees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Jin Hoa</cp:lastModifiedBy>
  <dcterms:created xsi:type="dcterms:W3CDTF">2026-07-23T06:07:48Z</dcterms:created>
  <dcterms:modified xsi:type="dcterms:W3CDTF">2026-10-19T06:43:14Z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0x010100075DF30E65B6EF43A4A87751785D6134</vt:lpwstr>
  </property>
  <property fmtid="{D5CDD505-2E9C-101B-9397-08002B2CF9AE}" pid="3" name="MediaServiceImageTags">
    <vt:lpwstr/>
  </property>
</Properties>
</file>