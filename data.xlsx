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13" documentId="11_A88C884250063A86F00218599B70D26268CCBE65" xr6:coauthVersionLast="47" xr6:coauthVersionMax="47" xr10:uidLastSave="{FB1C9B1E-8F9A-40CD-837B-BB029D4B8E45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4" i="5"/>
  <c r="B94" i="5" s="1"/>
  <c r="A93" i="5"/>
  <c r="B93" i="5"/>
  <c r="A99" i="5"/>
  <c r="B99" i="5"/>
  <c r="A98" i="5"/>
  <c r="B98" i="5"/>
  <c r="A97" i="5"/>
  <c r="B97" i="5"/>
  <c r="A101" i="5"/>
  <c r="B101" i="5" s="1"/>
  <c r="A104" i="5"/>
  <c r="B104" i="5" s="1"/>
  <c r="A108" i="5"/>
  <c r="B108" i="5"/>
  <c r="A107" i="5"/>
  <c r="B107" i="5" s="1"/>
  <c r="A110" i="5"/>
  <c r="B110" i="5" s="1"/>
  <c r="A117" i="5"/>
  <c r="B117" i="5" s="1"/>
  <c r="A124" i="5"/>
  <c r="B124" i="5"/>
  <c r="A128" i="5"/>
  <c r="B128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 s="1"/>
  <c r="A82" i="5"/>
  <c r="B82" i="5" s="1"/>
  <c r="A87" i="5"/>
  <c r="B87" i="5" s="1"/>
  <c r="A90" i="5"/>
  <c r="B90" i="5" s="1"/>
  <c r="A92" i="5"/>
  <c r="B92" i="5"/>
  <c r="A95" i="5"/>
  <c r="B95" i="5"/>
  <c r="A96" i="5"/>
  <c r="B96" i="5"/>
  <c r="A100" i="5"/>
  <c r="B100" i="5" s="1"/>
  <c r="A102" i="5"/>
  <c r="B102" i="5"/>
  <c r="A103" i="5"/>
  <c r="B103" i="5"/>
  <c r="A105" i="5"/>
  <c r="B105" i="5" s="1"/>
  <c r="A106" i="5"/>
  <c r="B106" i="5" s="1"/>
  <c r="A109" i="5"/>
  <c r="B109" i="5" s="1"/>
  <c r="A111" i="5"/>
  <c r="B111" i="5" s="1"/>
  <c r="A112" i="5"/>
  <c r="B112" i="5"/>
  <c r="A113" i="5"/>
  <c r="B113" i="5" s="1"/>
  <c r="A114" i="5"/>
  <c r="B114" i="5"/>
  <c r="A115" i="5"/>
  <c r="B115" i="5"/>
  <c r="A116" i="5"/>
  <c r="B116" i="5" s="1"/>
  <c r="A118" i="5"/>
  <c r="B118" i="5" s="1"/>
  <c r="A119" i="5"/>
  <c r="B119" i="5" s="1"/>
  <c r="A120" i="5"/>
  <c r="B120" i="5"/>
  <c r="A121" i="5"/>
  <c r="B121" i="5" s="1"/>
  <c r="A122" i="5"/>
  <c r="B122" i="5" s="1"/>
  <c r="A123" i="5"/>
  <c r="B123" i="5"/>
  <c r="A125" i="5"/>
  <c r="B125" i="5"/>
  <c r="A126" i="5"/>
  <c r="B126" i="5" s="1"/>
  <c r="A127" i="5"/>
  <c r="B127" i="5" s="1"/>
</calcChain>
</file>

<file path=xl/sharedStrings.xml><?xml version="1.0" encoding="utf-8"?>
<sst xmlns="http://schemas.openxmlformats.org/spreadsheetml/2006/main" count="1015" uniqueCount="582">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</sst>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62" activePane="bottomLeft" state="frozen"/>
      <selection activeCell="C1" sqref="C1"/>
      <selection pane="bottomLeft" activeCell="C76" sqref="C76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569</v>
      </c>
      <c r="D4" s="44" t="s">
        <v>570</v>
      </c>
      <c r="E4" s="25" t="s">
        <v>129</v>
      </c>
      <c r="F4" s="25" t="s">
        <v>566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571</v>
      </c>
      <c r="D12" s="16" t="s">
        <v>573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572</v>
      </c>
      <c r="D13" s="44" t="s">
        <v>574</v>
      </c>
      <c r="E13" s="25" t="s">
        <v>129</v>
      </c>
      <c r="F13" s="25" t="s">
        <v>566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565</v>
      </c>
      <c r="D35" s="25" t="s">
        <v>564</v>
      </c>
      <c r="E35" s="25" t="s">
        <v>129</v>
      </c>
      <c r="F35" s="25" t="s">
        <v>566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581</v>
      </c>
      <c r="D75" s="11"/>
      <c r="E75" s="11" t="s">
        <v>562</v>
      </c>
      <c r="F75" s="25" t="s">
        <v>563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575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567</v>
      </c>
      <c r="D84" s="25" t="s">
        <v>568</v>
      </c>
      <c r="E84" s="25" t="s">
        <v>129</v>
      </c>
      <c r="F84" s="25" t="s">
        <v>566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577</v>
      </c>
      <c r="D85" s="25" t="s">
        <v>576</v>
      </c>
      <c r="E85" s="25" t="s">
        <v>124</v>
      </c>
      <c r="F85" s="25" t="s">
        <v>578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579</v>
      </c>
      <c r="D86" s="25"/>
      <c r="E86" s="25" t="s">
        <v>124</v>
      </c>
      <c r="F86" s="25" t="s">
        <v>580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167</v>
      </c>
      <c r="D87" s="37" t="s">
        <v>204</v>
      </c>
      <c r="E87" s="37" t="s">
        <v>121</v>
      </c>
      <c r="F87" s="25" t="s">
        <v>441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468</v>
      </c>
      <c r="D88" s="37" t="s">
        <v>469</v>
      </c>
      <c r="E88" s="39" t="s">
        <v>467</v>
      </c>
      <c r="F88" s="25" t="s">
        <v>507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491</v>
      </c>
      <c r="D89" s="11" t="s">
        <v>492</v>
      </c>
      <c r="E89" s="38" t="s">
        <v>467</v>
      </c>
      <c r="F89" s="25" t="s">
        <v>508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461</v>
      </c>
      <c r="D90" s="33" t="s">
        <v>205</v>
      </c>
      <c r="E90" s="33" t="s">
        <v>124</v>
      </c>
      <c r="F90" s="25" t="s">
        <v>442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536</v>
      </c>
      <c r="D91" s="11" t="s">
        <v>537</v>
      </c>
      <c r="E91" s="11" t="s">
        <v>124</v>
      </c>
      <c r="F91" s="25" t="s">
        <v>440</v>
      </c>
    </row>
    <row r="92" spans="1:6" x14ac:dyDescent="0.35">
      <c r="A92" s="35">
        <f>DATE(2026,12,16)</f>
        <v>46372</v>
      </c>
      <c r="B92" s="36" t="str">
        <f t="shared" si="2"/>
        <v>Wed</v>
      </c>
      <c r="C92" s="40" t="s">
        <v>460</v>
      </c>
      <c r="D92" s="40" t="s">
        <v>206</v>
      </c>
      <c r="E92" s="37" t="s">
        <v>131</v>
      </c>
      <c r="F92" s="25" t="s">
        <v>443</v>
      </c>
    </row>
    <row r="93" spans="1:6" x14ac:dyDescent="0.35">
      <c r="A93" s="35">
        <f>DATE(2026,12,25)</f>
        <v>46381</v>
      </c>
      <c r="B93" s="36" t="str">
        <f>TEXT($A93,"ddd")</f>
        <v>Fri</v>
      </c>
      <c r="C93" s="37" t="s">
        <v>465</v>
      </c>
      <c r="D93" s="37" t="s">
        <v>466</v>
      </c>
      <c r="E93" s="39" t="s">
        <v>467</v>
      </c>
      <c r="F93" s="25" t="s">
        <v>509</v>
      </c>
    </row>
    <row r="94" spans="1:6" x14ac:dyDescent="0.35">
      <c r="A94" s="12">
        <f>DATE(2027,1,1)</f>
        <v>46388</v>
      </c>
      <c r="B94" s="13" t="str">
        <f>TEXT($A94,"ddd")</f>
        <v>Fri</v>
      </c>
      <c r="C94" s="11" t="s">
        <v>489</v>
      </c>
      <c r="D94" s="11" t="s">
        <v>490</v>
      </c>
      <c r="E94" s="38" t="s">
        <v>467</v>
      </c>
      <c r="F94" s="25" t="s">
        <v>497</v>
      </c>
    </row>
    <row r="95" spans="1:6" x14ac:dyDescent="0.35">
      <c r="A95" s="31">
        <f>DATE(2027,1,1)</f>
        <v>46388</v>
      </c>
      <c r="B95" s="32" t="str">
        <f t="shared" si="2"/>
        <v>Fri</v>
      </c>
      <c r="C95" s="43" t="s">
        <v>231</v>
      </c>
      <c r="D95" s="33" t="s">
        <v>207</v>
      </c>
      <c r="E95" s="33" t="s">
        <v>131</v>
      </c>
      <c r="F95" s="25" t="s">
        <v>402</v>
      </c>
    </row>
    <row r="96" spans="1:6" x14ac:dyDescent="0.35">
      <c r="A96" s="35">
        <f>DATE(2027,1,30)</f>
        <v>46417</v>
      </c>
      <c r="B96" s="36" t="str">
        <f t="shared" si="2"/>
        <v>Sat</v>
      </c>
      <c r="C96" s="37" t="s">
        <v>168</v>
      </c>
      <c r="D96" s="37" t="s">
        <v>208</v>
      </c>
      <c r="E96" s="37" t="s">
        <v>121</v>
      </c>
      <c r="F96" s="25" t="s">
        <v>405</v>
      </c>
    </row>
    <row r="97" spans="1:6" x14ac:dyDescent="0.35">
      <c r="A97" s="35">
        <f>DATE(2027,2,6)</f>
        <v>46424</v>
      </c>
      <c r="B97" s="36" t="str">
        <f>TEXT($A97,"ddd")</f>
        <v>Sat</v>
      </c>
      <c r="C97" s="37" t="s">
        <v>483</v>
      </c>
      <c r="D97" s="37" t="s">
        <v>484</v>
      </c>
      <c r="E97" s="39" t="s">
        <v>467</v>
      </c>
      <c r="F97" s="25" t="s">
        <v>498</v>
      </c>
    </row>
    <row r="98" spans="1:6" x14ac:dyDescent="0.35">
      <c r="A98" s="35">
        <f>DATE(2027,2,7)</f>
        <v>46425</v>
      </c>
      <c r="B98" s="36" t="str">
        <f>TEXT($A98,"ddd")</f>
        <v>Sun</v>
      </c>
      <c r="C98" s="37" t="s">
        <v>485</v>
      </c>
      <c r="D98" s="37" t="s">
        <v>486</v>
      </c>
      <c r="E98" s="39" t="s">
        <v>467</v>
      </c>
      <c r="F98" s="25" t="s">
        <v>498</v>
      </c>
    </row>
    <row r="99" spans="1:6" x14ac:dyDescent="0.35">
      <c r="A99" s="12">
        <f>DATE(2027,2,8)</f>
        <v>46426</v>
      </c>
      <c r="B99" s="13" t="str">
        <f>TEXT($A99,"ddd")</f>
        <v>Mon</v>
      </c>
      <c r="C99" s="11" t="s">
        <v>487</v>
      </c>
      <c r="D99" s="11" t="s">
        <v>488</v>
      </c>
      <c r="E99" s="38" t="s">
        <v>467</v>
      </c>
      <c r="F99" s="25" t="s">
        <v>510</v>
      </c>
    </row>
    <row r="100" spans="1:6" x14ac:dyDescent="0.35">
      <c r="A100" s="41">
        <f>DATE(2027,2,18)</f>
        <v>46436</v>
      </c>
      <c r="B100" s="42" t="str">
        <f t="shared" si="2"/>
        <v>Thu</v>
      </c>
      <c r="C100" s="25" t="s">
        <v>234</v>
      </c>
      <c r="D100" s="25" t="s">
        <v>235</v>
      </c>
      <c r="E100" s="25" t="s">
        <v>233</v>
      </c>
      <c r="F100" s="26" t="s">
        <v>406</v>
      </c>
    </row>
    <row r="101" spans="1:6" x14ac:dyDescent="0.35">
      <c r="A101" s="12">
        <f>DATE(2027,3,10)</f>
        <v>46456</v>
      </c>
      <c r="B101" s="13" t="str">
        <f>TEXT($A101,"ddd")</f>
        <v>Wed</v>
      </c>
      <c r="C101" s="11" t="s">
        <v>481</v>
      </c>
      <c r="D101" s="11" t="s">
        <v>482</v>
      </c>
      <c r="E101" s="38" t="s">
        <v>478</v>
      </c>
      <c r="F101" s="25" t="s">
        <v>499</v>
      </c>
    </row>
    <row r="102" spans="1:6" x14ac:dyDescent="0.35">
      <c r="A102" s="31">
        <f>DATE(2027,3,19)</f>
        <v>46465</v>
      </c>
      <c r="B102" s="32" t="str">
        <f t="shared" si="2"/>
        <v>Fri</v>
      </c>
      <c r="C102" s="33" t="s">
        <v>169</v>
      </c>
      <c r="D102" s="33" t="s">
        <v>209</v>
      </c>
      <c r="E102" s="33" t="s">
        <v>124</v>
      </c>
      <c r="F102" s="26" t="s">
        <v>440</v>
      </c>
    </row>
    <row r="103" spans="1:6" x14ac:dyDescent="0.35">
      <c r="A103" s="35">
        <f>DATE(2027,3,25)</f>
        <v>46471</v>
      </c>
      <c r="B103" s="36" t="str">
        <f t="shared" si="2"/>
        <v>Thu</v>
      </c>
      <c r="C103" s="37" t="s">
        <v>170</v>
      </c>
      <c r="D103" s="37" t="s">
        <v>210</v>
      </c>
      <c r="E103" s="37" t="s">
        <v>121</v>
      </c>
      <c r="F103" s="26" t="s">
        <v>413</v>
      </c>
    </row>
    <row r="104" spans="1:6" x14ac:dyDescent="0.35">
      <c r="A104" s="12">
        <f>DATE(2027,3,26)</f>
        <v>46472</v>
      </c>
      <c r="B104" s="13" t="str">
        <f>TEXT($A104,"ddd")</f>
        <v>Fri</v>
      </c>
      <c r="C104" s="11" t="s">
        <v>479</v>
      </c>
      <c r="D104" s="11" t="s">
        <v>480</v>
      </c>
      <c r="E104" s="38" t="s">
        <v>467</v>
      </c>
      <c r="F104" s="25" t="s">
        <v>500</v>
      </c>
    </row>
    <row r="105" spans="1:6" x14ac:dyDescent="0.35">
      <c r="A105" s="31">
        <f>DATE(2027,4,3)</f>
        <v>46480</v>
      </c>
      <c r="B105" s="32" t="str">
        <f t="shared" si="2"/>
        <v>Sat</v>
      </c>
      <c r="C105" s="43" t="s">
        <v>222</v>
      </c>
      <c r="D105" s="33" t="s">
        <v>211</v>
      </c>
      <c r="E105" s="33" t="s">
        <v>233</v>
      </c>
      <c r="F105" s="26" t="s">
        <v>445</v>
      </c>
    </row>
    <row r="106" spans="1:6" x14ac:dyDescent="0.35">
      <c r="A106" s="35">
        <f>DATE(2027,4,9)</f>
        <v>46486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440</v>
      </c>
    </row>
    <row r="107" spans="1:6" x14ac:dyDescent="0.35">
      <c r="A107" s="35">
        <f>DATE(2027,5,1)</f>
        <v>46508</v>
      </c>
      <c r="B107" s="36" t="str">
        <f>TEXT($A107,"ddd")</f>
        <v>Sat</v>
      </c>
      <c r="C107" s="37" t="s">
        <v>474</v>
      </c>
      <c r="D107" s="37" t="s">
        <v>475</v>
      </c>
      <c r="E107" s="39" t="s">
        <v>467</v>
      </c>
      <c r="F107" s="25" t="s">
        <v>501</v>
      </c>
    </row>
    <row r="108" spans="1:6" x14ac:dyDescent="0.35">
      <c r="A108" s="12">
        <f>DATE(2027,5,17)</f>
        <v>46524</v>
      </c>
      <c r="B108" s="13" t="str">
        <f>TEXT($A108,"ddd")</f>
        <v>Mon</v>
      </c>
      <c r="C108" s="11" t="s">
        <v>476</v>
      </c>
      <c r="D108" s="11" t="s">
        <v>477</v>
      </c>
      <c r="E108" s="38" t="s">
        <v>478</v>
      </c>
      <c r="F108" s="25" t="s">
        <v>502</v>
      </c>
    </row>
    <row r="109" spans="1:6" x14ac:dyDescent="0.35">
      <c r="A109" s="41">
        <f>DATE(2027,5,19)</f>
        <v>46526</v>
      </c>
      <c r="B109" s="42" t="str">
        <f t="shared" si="2"/>
        <v>Wed</v>
      </c>
      <c r="C109" s="25" t="s">
        <v>171</v>
      </c>
      <c r="D109" s="25" t="s">
        <v>212</v>
      </c>
      <c r="E109" s="25" t="s">
        <v>232</v>
      </c>
      <c r="F109" s="26" t="s">
        <v>414</v>
      </c>
    </row>
    <row r="110" spans="1:6" x14ac:dyDescent="0.35">
      <c r="A110" s="12">
        <f>DATE(2027,5,20)</f>
        <v>46527</v>
      </c>
      <c r="B110" s="13" t="str">
        <f>TEXT($A110,"ddd")</f>
        <v>Thu</v>
      </c>
      <c r="C110" s="11" t="s">
        <v>472</v>
      </c>
      <c r="D110" s="11" t="s">
        <v>473</v>
      </c>
      <c r="E110" s="38" t="s">
        <v>467</v>
      </c>
      <c r="F110" s="25" t="s">
        <v>503</v>
      </c>
    </row>
    <row r="111" spans="1:6" x14ac:dyDescent="0.35">
      <c r="A111" s="31">
        <f>DATE(2027,5,20)</f>
        <v>46527</v>
      </c>
      <c r="B111" s="32" t="str">
        <f t="shared" si="2"/>
        <v>Thu</v>
      </c>
      <c r="C111" s="33" t="s">
        <v>172</v>
      </c>
      <c r="D111" s="33" t="s">
        <v>213</v>
      </c>
      <c r="E111" s="33" t="s">
        <v>232</v>
      </c>
      <c r="F111" s="26" t="s">
        <v>414</v>
      </c>
    </row>
    <row r="112" spans="1:6" x14ac:dyDescent="0.35">
      <c r="A112" s="12">
        <f>DATE(2027,5,21)</f>
        <v>46528</v>
      </c>
      <c r="B112" s="13" t="str">
        <f t="shared" si="2"/>
        <v>Fri</v>
      </c>
      <c r="C112" s="11" t="s">
        <v>173</v>
      </c>
      <c r="D112" s="11" t="s">
        <v>214</v>
      </c>
      <c r="E112" s="11" t="s">
        <v>232</v>
      </c>
      <c r="F112" s="26" t="s">
        <v>414</v>
      </c>
    </row>
    <row r="113" spans="1:6" x14ac:dyDescent="0.35">
      <c r="A113" s="12">
        <f>DATE(2027,5,28)</f>
        <v>46535</v>
      </c>
      <c r="B113" s="13" t="str">
        <f t="shared" si="2"/>
        <v>Fri</v>
      </c>
      <c r="C113" s="11" t="s">
        <v>174</v>
      </c>
      <c r="D113" s="11" t="s">
        <v>215</v>
      </c>
      <c r="E113" s="11" t="s">
        <v>121</v>
      </c>
      <c r="F113" s="26" t="s">
        <v>446</v>
      </c>
    </row>
    <row r="114" spans="1:6" x14ac:dyDescent="0.35">
      <c r="A114" s="12">
        <f>DATE(2027,6,11)</f>
        <v>46549</v>
      </c>
      <c r="B114" s="13" t="str">
        <f t="shared" si="2"/>
        <v>Fri</v>
      </c>
      <c r="C114" s="11" t="s">
        <v>250</v>
      </c>
      <c r="D114" s="11" t="s">
        <v>209</v>
      </c>
      <c r="E114" s="11" t="s">
        <v>124</v>
      </c>
      <c r="F114" s="26" t="s">
        <v>440</v>
      </c>
    </row>
    <row r="115" spans="1:6" x14ac:dyDescent="0.35">
      <c r="A115" s="12">
        <f>DATE(2027,7,9)</f>
        <v>46577</v>
      </c>
      <c r="B115" s="13" t="str">
        <f t="shared" si="2"/>
        <v>Fri</v>
      </c>
      <c r="C115" s="16" t="s">
        <v>452</v>
      </c>
      <c r="D115" s="11" t="s">
        <v>453</v>
      </c>
      <c r="E115" s="11" t="s">
        <v>124</v>
      </c>
      <c r="F115" s="25" t="s">
        <v>454</v>
      </c>
    </row>
    <row r="116" spans="1:6" x14ac:dyDescent="0.35">
      <c r="A116" s="35">
        <f>DATE(2027,7,30)</f>
        <v>46598</v>
      </c>
      <c r="B116" s="36" t="str">
        <f t="shared" si="2"/>
        <v>Fri</v>
      </c>
      <c r="C116" s="37" t="s">
        <v>175</v>
      </c>
      <c r="D116" s="37" t="s">
        <v>216</v>
      </c>
      <c r="E116" s="37" t="s">
        <v>124</v>
      </c>
      <c r="F116" s="26" t="s">
        <v>440</v>
      </c>
    </row>
    <row r="117" spans="1:6" x14ac:dyDescent="0.35">
      <c r="A117" s="12">
        <f>DATE(2027,8,9)</f>
        <v>46608</v>
      </c>
      <c r="B117" s="13" t="str">
        <f>TEXT($A117,"ddd")</f>
        <v>Mon</v>
      </c>
      <c r="C117" s="11" t="s">
        <v>470</v>
      </c>
      <c r="D117" s="11" t="s">
        <v>471</v>
      </c>
      <c r="E117" s="38" t="s">
        <v>467</v>
      </c>
      <c r="F117" s="25" t="s">
        <v>505</v>
      </c>
    </row>
    <row r="118" spans="1:6" x14ac:dyDescent="0.35">
      <c r="A118" s="31">
        <f>DATE(2027,8,16)</f>
        <v>46615</v>
      </c>
      <c r="B118" s="32" t="str">
        <f t="shared" si="2"/>
        <v>Mon</v>
      </c>
      <c r="C118" s="33" t="s">
        <v>176</v>
      </c>
      <c r="D118" s="33" t="s">
        <v>217</v>
      </c>
      <c r="E118" s="33" t="s">
        <v>232</v>
      </c>
      <c r="F118" s="26" t="s">
        <v>444</v>
      </c>
    </row>
    <row r="119" spans="1:6" x14ac:dyDescent="0.35">
      <c r="A119" s="12">
        <f>DATE(2027,8,20)</f>
        <v>46619</v>
      </c>
      <c r="B119" s="13" t="str">
        <f t="shared" si="2"/>
        <v>Fri</v>
      </c>
      <c r="C119" s="11" t="s">
        <v>177</v>
      </c>
      <c r="D119" s="11" t="s">
        <v>218</v>
      </c>
      <c r="E119" s="11" t="s">
        <v>124</v>
      </c>
      <c r="F119" s="26" t="s">
        <v>440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178</v>
      </c>
      <c r="D121" s="11" t="s">
        <v>219</v>
      </c>
      <c r="E121" s="11" t="s">
        <v>131</v>
      </c>
      <c r="F121" s="26" t="s">
        <v>438</v>
      </c>
    </row>
    <row r="122" spans="1:6" x14ac:dyDescent="0.35">
      <c r="A122" s="12">
        <f>DATE(2027,10,1)</f>
        <v>46661</v>
      </c>
      <c r="B122" s="13" t="str">
        <f t="shared" si="2"/>
        <v>Fri</v>
      </c>
      <c r="C122" s="11" t="s">
        <v>169</v>
      </c>
      <c r="D122" s="11" t="s">
        <v>209</v>
      </c>
      <c r="E122" s="11" t="s">
        <v>124</v>
      </c>
      <c r="F122" s="26" t="s">
        <v>440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169</v>
      </c>
      <c r="D123" s="37" t="s">
        <v>209</v>
      </c>
      <c r="E123" s="37" t="s">
        <v>124</v>
      </c>
      <c r="F123" s="26" t="s">
        <v>440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468</v>
      </c>
      <c r="D124" s="11" t="s">
        <v>469</v>
      </c>
      <c r="E124" s="38" t="s">
        <v>467</v>
      </c>
      <c r="F124" s="25" t="s">
        <v>507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169</v>
      </c>
      <c r="D125" s="33" t="s">
        <v>209</v>
      </c>
      <c r="E125" s="33" t="s">
        <v>124</v>
      </c>
      <c r="F125" s="26" t="s">
        <v>440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452</v>
      </c>
      <c r="D126" s="11" t="s">
        <v>453</v>
      </c>
      <c r="E126" s="11" t="s">
        <v>124</v>
      </c>
      <c r="F126" s="25" t="s">
        <v>454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166</v>
      </c>
      <c r="D127" s="40" t="s">
        <v>206</v>
      </c>
      <c r="E127" s="37" t="s">
        <v>131</v>
      </c>
      <c r="F127" s="26" t="s">
        <v>443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465</v>
      </c>
      <c r="D128" s="11" t="s">
        <v>466</v>
      </c>
      <c r="E128" s="38" t="s">
        <v>467</v>
      </c>
      <c r="F128" s="25" t="s">
        <v>509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46287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2026-09-22T07:00:48Z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