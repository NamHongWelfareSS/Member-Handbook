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17" documentId="11_A88C884250063A86F00218599B70D26268CCBE65" xr6:coauthVersionLast="47" xr6:coauthVersionMax="47" xr10:uidLastSave="{8C9D9629-D6BB-429F-A9A1-51B1DE05D439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5" l="1"/>
  <c r="A45" i="5"/>
  <c r="B45" i="5" s="1"/>
  <c r="A46" i="5"/>
  <c r="B46" i="5" s="1"/>
  <c r="A34" i="5"/>
  <c r="B34" i="5" s="1"/>
  <c r="A50" i="5"/>
  <c r="B50" i="5" s="1"/>
  <c r="A47" i="5"/>
  <c r="B47" i="5" s="1"/>
  <c r="A49" i="5"/>
  <c r="B49" i="5" s="1"/>
  <c r="A28" i="5"/>
  <c r="B28" i="5" s="1"/>
  <c r="A43" i="5"/>
  <c r="B43" i="5" s="1"/>
  <c r="A26" i="5"/>
  <c r="B26" i="5" s="1"/>
  <c r="A25" i="5"/>
  <c r="B25" i="5" s="1"/>
  <c r="A22" i="5"/>
  <c r="B22" i="5" s="1"/>
  <c r="A20" i="5"/>
  <c r="B20" i="5" s="1"/>
  <c r="A31" i="5" l="1"/>
  <c r="B31" i="5" s="1"/>
  <c r="A33" i="5"/>
  <c r="A48" i="5"/>
  <c r="A44" i="5"/>
  <c r="B44" i="5" s="1"/>
  <c r="A42" i="5"/>
  <c r="B42" i="5" s="1"/>
  <c r="A40" i="5"/>
  <c r="B40" i="5" s="1"/>
  <c r="A39" i="5"/>
  <c r="B39" i="5" s="1"/>
  <c r="A38" i="5"/>
  <c r="B38" i="5" s="1"/>
  <c r="A37" i="5"/>
  <c r="B37" i="5" s="1"/>
  <c r="A35" i="5"/>
  <c r="B35" i="5" s="1"/>
  <c r="B36" i="5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3" i="5"/>
  <c r="A41" i="5"/>
  <c r="B41" i="5" s="1"/>
  <c r="B48" i="5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  <c r="A78" i="5"/>
  <c r="B78" i="5" s="1"/>
  <c r="A79" i="5"/>
  <c r="B79" i="5" s="1"/>
  <c r="A80" i="5"/>
  <c r="B80" i="5" s="1"/>
  <c r="A81" i="5"/>
  <c r="B81" i="5" s="1"/>
</calcChain>
</file>

<file path=xl/sharedStrings.xml><?xml version="1.0" encoding="utf-8"?>
<sst xmlns="http://schemas.openxmlformats.org/spreadsheetml/2006/main" count="539" uniqueCount="287">
  <si>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</si>
  <si>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</si>
  <si>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</si>
  <si>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</si>
  <si>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</si>
  <si>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</si>
  <si>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</si>
  <si>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</si>
  <si>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</si>
  <si>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</si>
  <si>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</si>
  <si>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</si>
  <si>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</si>
  <si>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</si>
  <si>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</si>
  <si>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</si>
  <si>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</si>
  <si>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</si>
  <si>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</si>
  <si>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</si>
  <si>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</si>
  <si>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</si>
  <si>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</si>
  <si>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</si>
  <si>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</si>
  <si>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</si>
  <si>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</si>
  <si>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</si>
  <si>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</si>
  <si>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</si>
  <si>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</si>
  <si>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</si>
  <si>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</si>
  <si>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</si>
  <si>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</si>
  <si>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</si>
  <si>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</si>
  <si>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</si>
  <si>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</si>
  <si>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</si>
  <si>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</si>
  <si>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</si>
  <si>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</si>
  <si>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</si>
  <si>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</si>
  <si>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</si>
  <si>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</si>
  <si>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</si>
  <si>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</si>
  <si>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</si>
  <si>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</si>
  <si>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</si>
  <si>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</si>
  <si>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</si>
  <si>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</si>
  <si>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</si>
  <si>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</si>
  <si>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</si>
  <si>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</si>
  <si>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</si>
  <si>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</si>
  <si>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</si>
  <si>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</si>
  <si>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</si>
  <si>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</si>
  <si>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</si>
  <si>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</si>
  <si>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</si>
  <si>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</si>
  <si>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</si>
  <si>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</si>
  <si>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</si>
  <si>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</si>
  <si>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</si>
  <si>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</si>
  <si>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</si>
  <si>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</si>
  <si>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</si>
  <si>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</si>
  <si>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</si>
  <si>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</si>
  <si>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</si>
  <si>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</si>
  <si>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</si>
  <si>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</si>
  <si>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</si>
  <si>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</si>
  <si>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</si>
  <si>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</si>
  <si>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</si>
  <si>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</si>
  <si>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</si>
  <si>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</si>
  <si>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</si>
  <si>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</si>
  <si>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</si>
  <si>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</si>
  <si>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</si>
  <si>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</si>
  <si>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</si>
  <si>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</si>
  <si>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</si>
  <si>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</si>
  <si>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</si>
  <si>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</si>
  <si>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</si>
  <si>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</si>
  <si>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</si>
  <si>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</si>
  <si>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</si>
  <si>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</si>
  <si>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</si>
  <si>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</si>
  <si>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</si>
  <si>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</si>
  <si>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</si>
  <si>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</si>
  <si>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</si>
  <si>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</si>
  <si>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</si>
  <si>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</si>
  <si>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</si>
  <si>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</si>
  <si>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</si>
  <si>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</si>
  <si>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</si>
  <si>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</si>
  <si>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</si>
  <si>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</si>
  <si>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</si>
  <si>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</si>
  <si>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</si>
  <si>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</si>
  <si>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</si>
  <si>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</si>
  <si>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</si>
  <si>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</si>
  <si>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</si>
  <si>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</si>
  <si>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</si>
  <si>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</si>
  <si>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</si>
  <si>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</si>
  <si>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</si>
  <si>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</si>
  <si>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</si>
  <si>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</si>
  <si>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</si>
  <si>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</si>
  <si>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</si>
  <si>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</si>
  <si>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</si>
  <si>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</si>
  <si>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</si>
  <si>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</si>
  <si>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</si>
  <si>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</si>
  <si>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</si>
  <si>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</si>
  <si>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</si>
  <si>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</si>
  <si>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</si>
  <si>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</si>
  <si>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</si>
  <si>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</si>
  <si>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</si>
  <si>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</si>
  <si>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</si>
  <si>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</si>
  <si>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</si>
  <si>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</si>
  <si>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</si>
  <si>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</si>
  <si>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</si>
  <si>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</si>
  <si>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</si>
  <si>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</si>
  <si>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</si>
  <si>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</si>
  <si>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</si>
  <si>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</si>
  <si>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</si>
  <si>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</si>
  <si>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</si>
  <si>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</si>
  <si>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</si>
  <si>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</si>
  <si>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</si>
  <si>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</si>
  <si>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</si>
  <si>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</si>
  <si>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</si>
  <si>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</si>
  <si>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</si>
  <si>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</si>
  <si>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</si>
  <si>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</si>
  <si>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</si>
  <si>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</si>
  <si>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</si>
  <si>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</si>
  <si>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</si>
  <si>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</si>
  <si>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</si>
  <si>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</si>
  <si>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</si>
  <si>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</si>
  <si>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</si>
  <si>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</si>
  <si>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</si>
  <si>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</si>
  <si>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</si>
  <si>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</si>
  <si>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</si>
  <si>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</si>
  <si>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</si>
  <si>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</si>
  <si>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</si>
  <si>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</si>
  <si>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</si>
  <si>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</si>
  <si>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</si>
  <si>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</si>
  <si>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</si>
  <si>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</si>
  <si>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</si>
  <si>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</si>
  <si>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</si>
  <si>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</si>
  <si>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</si>
  <si>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</si>
  <si>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</si>
  <si>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</si>
  <si>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</si>
  <si>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</si>
  <si>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</si>
  <si>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</si>
  <si>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</si>
  <si>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</si>
  <si>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</si>
  <si>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</si>
  <si>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</si>
  <si>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</si>
  <si>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</si>
  <si>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</si>
  <si>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</si>
  <si>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</si>
  <si>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</si>
  <si>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</si>
  <si>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</si>
  <si>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</si>
  <si>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</si>
  <si>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</si>
  <si>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</si>
  <si>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</si>
  <si>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</si>
  <si>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</si>
  <si>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</si>
  <si>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</si>
  <si>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</si>
  <si>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</si>
  <si>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</si>
  <si>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</si>
  <si>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</si>
  <si>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</si>
  <si>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</si>
  <si>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</si>
  <si>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</si>
  <si>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</si>
  <si>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</si>
  <si>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</si>
  <si>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</si>
  <si>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</si>
  <si>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</si>
  <si>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</si>
  <si>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</si>
  <si>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</si>
  <si>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</si>
  <si>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</si>
  <si>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</si>
  <si>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</si>
  <si>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</si>
  <si>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</si>
  <si>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</si>
  <si>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</si>
  <si>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Agnes, Yan Yi, Kathy - all to arrive by 7pm). Auction item included.</t>
  </si>
  <si>
    <t>大牌139中元会 (代表：徐金声,Agnes, Yan Yi, Kathy）。筹款活动包括义标。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</si>
</sst>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1"/>
  <sheetViews>
    <sheetView tabSelected="1" workbookViewId="0">
      <pane ySplit="1" topLeftCell="A11" activePane="bottomLeft" state="frozen"/>
      <selection pane="bottomLeft" activeCell="D31" sqref="D3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138</v>
      </c>
    </row>
    <row r="2" spans="1:5" x14ac:dyDescent="0.35">
      <c r="A2" s="12">
        <f>DATE(2026,1,1)</f>
        <v>46023</v>
      </c>
      <c r="B2" s="13" t="str">
        <f t="shared" ref="B2:B54" si="0">TEXT($A2,"ddd")</f>
        <v>Thu</v>
      </c>
      <c r="C2" s="11" t="s">
        <v>139</v>
      </c>
      <c r="D2" s="11" t="s">
        <v>140</v>
      </c>
      <c r="E2" s="11" t="s">
        <v>127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141</v>
      </c>
      <c r="E3" s="11" t="s">
        <v>124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142</v>
      </c>
      <c r="D4" s="11" t="s">
        <v>143</v>
      </c>
      <c r="E4" s="11" t="s">
        <v>134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144</v>
      </c>
      <c r="E5" s="11" t="s">
        <v>124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145</v>
      </c>
      <c r="E6" s="11" t="s">
        <v>124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146</v>
      </c>
      <c r="E7" s="11" t="s">
        <v>127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147</v>
      </c>
      <c r="E8" s="11" t="s">
        <v>124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148</v>
      </c>
      <c r="E9" s="11" t="s">
        <v>124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239</v>
      </c>
      <c r="E10" s="11" t="s">
        <v>124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274</v>
      </c>
      <c r="E11" s="11" t="s">
        <v>132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149</v>
      </c>
      <c r="D12" s="11" t="s">
        <v>150</v>
      </c>
      <c r="E12" s="11" t="s">
        <v>132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151</v>
      </c>
      <c r="D13" s="11" t="s">
        <v>152</v>
      </c>
      <c r="E13" s="11" t="s">
        <v>134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153</v>
      </c>
      <c r="D14" s="11" t="s">
        <v>275</v>
      </c>
      <c r="E14" s="11" t="s">
        <v>132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154</v>
      </c>
      <c r="E15" s="11" t="s">
        <v>124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155</v>
      </c>
      <c r="D16" s="11" t="s">
        <v>156</v>
      </c>
      <c r="E16" s="11" t="s">
        <v>251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157</v>
      </c>
      <c r="D17" s="11" t="s">
        <v>158</v>
      </c>
      <c r="E17" s="11" t="s">
        <v>251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159</v>
      </c>
      <c r="D18" s="11" t="s">
        <v>160</v>
      </c>
      <c r="E18" s="11" t="s">
        <v>251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161</v>
      </c>
      <c r="D19" s="11" t="s">
        <v>162</v>
      </c>
      <c r="E19" s="11" t="s">
        <v>251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240</v>
      </c>
      <c r="E20" s="11" t="s">
        <v>124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163</v>
      </c>
      <c r="E21" s="11" t="s">
        <v>124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240</v>
      </c>
      <c r="E22" s="11" t="s">
        <v>124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164</v>
      </c>
      <c r="D23" s="11" t="s">
        <v>165</v>
      </c>
      <c r="E23" s="11" t="s">
        <v>127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209</v>
      </c>
      <c r="D24" s="11" t="s">
        <v>210</v>
      </c>
      <c r="E24" s="11" t="s">
        <v>127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241</v>
      </c>
      <c r="E25" s="11" t="s">
        <v>124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241</v>
      </c>
      <c r="E26" s="11" t="s">
        <v>124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237</v>
      </c>
      <c r="D27" s="11" t="s">
        <v>238</v>
      </c>
      <c r="E27" s="11" t="s">
        <v>127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249</v>
      </c>
      <c r="D28" s="16" t="s">
        <v>248</v>
      </c>
      <c r="E28" s="11" t="s">
        <v>124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257</v>
      </c>
      <c r="D29" s="16" t="s">
        <v>233</v>
      </c>
      <c r="E29" s="11" t="s">
        <v>251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285</v>
      </c>
      <c r="D30" s="16" t="s">
        <v>286</v>
      </c>
      <c r="E30" s="11" t="s">
        <v>251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258</v>
      </c>
      <c r="D31" s="16" t="s">
        <v>242</v>
      </c>
      <c r="E31" s="11" t="s">
        <v>269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259</v>
      </c>
      <c r="D32" s="11" t="s">
        <v>231</v>
      </c>
      <c r="E32" s="11" t="s">
        <v>251</v>
      </c>
    </row>
    <row r="33" spans="1:5" x14ac:dyDescent="0.35">
      <c r="A33" s="12">
        <f>DATE(2026,8,28)</f>
        <v>46262</v>
      </c>
      <c r="B33" s="13" t="str">
        <f>TEXT($A33,"ddd")</f>
        <v>Fri</v>
      </c>
      <c r="C33" s="11" t="s">
        <v>166</v>
      </c>
      <c r="D33" s="11" t="s">
        <v>167</v>
      </c>
      <c r="E33" s="11" t="s">
        <v>127</v>
      </c>
    </row>
    <row r="34" spans="1:5" x14ac:dyDescent="0.35">
      <c r="A34" s="12">
        <f>DATE(2026,8,29)</f>
        <v>46263</v>
      </c>
      <c r="B34" s="13" t="str">
        <f t="shared" si="1"/>
        <v>Sat</v>
      </c>
      <c r="C34" s="11" t="s">
        <v>279</v>
      </c>
      <c r="D34" s="11" t="s">
        <v>278</v>
      </c>
      <c r="E34" s="11" t="s">
        <v>269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260</v>
      </c>
      <c r="D35" s="11" t="s">
        <v>243</v>
      </c>
      <c r="E35" s="11" t="s">
        <v>251</v>
      </c>
    </row>
    <row r="36" spans="1:5" x14ac:dyDescent="0.35">
      <c r="A36" s="12">
        <f>DATE(2026,8,31)</f>
        <v>46265</v>
      </c>
      <c r="B36" s="13" t="str">
        <f>TEXT($A36,"ddd")</f>
        <v>Mon</v>
      </c>
      <c r="C36" s="11" t="s">
        <v>283</v>
      </c>
      <c r="D36" s="21" t="s">
        <v>284</v>
      </c>
      <c r="E36" s="11" t="s">
        <v>251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261</v>
      </c>
      <c r="D37" s="16" t="s">
        <v>244</v>
      </c>
      <c r="E37" s="11" t="s">
        <v>251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262</v>
      </c>
      <c r="D38" s="11" t="s">
        <v>232</v>
      </c>
      <c r="E38" s="11" t="s">
        <v>251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263</v>
      </c>
      <c r="D39" s="16" t="s">
        <v>234</v>
      </c>
      <c r="E39" s="11" t="s">
        <v>251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264</v>
      </c>
      <c r="D40" s="11" t="s">
        <v>245</v>
      </c>
      <c r="E40" s="11" t="s">
        <v>251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168</v>
      </c>
      <c r="D41" s="11" t="s">
        <v>169</v>
      </c>
      <c r="E41" s="11" t="s">
        <v>127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265</v>
      </c>
      <c r="D42" s="16" t="s">
        <v>235</v>
      </c>
      <c r="E42" s="11" t="s">
        <v>251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266</v>
      </c>
      <c r="D43" s="16" t="s">
        <v>247</v>
      </c>
      <c r="E43" s="11" t="s">
        <v>251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267</v>
      </c>
      <c r="D44" s="16" t="s">
        <v>246</v>
      </c>
      <c r="E44" s="11" t="s">
        <v>251</v>
      </c>
    </row>
    <row r="45" spans="1:5" x14ac:dyDescent="0.35">
      <c r="A45" s="12">
        <f>DATE(2026,9,15)</f>
        <v>46280</v>
      </c>
      <c r="B45" s="13" t="str">
        <f t="shared" si="0"/>
        <v>Tue</v>
      </c>
      <c r="C45" s="11" t="s">
        <v>282</v>
      </c>
      <c r="D45" s="16"/>
      <c r="E45" s="11" t="s">
        <v>269</v>
      </c>
    </row>
    <row r="46" spans="1:5" x14ac:dyDescent="0.35">
      <c r="A46" s="12">
        <f>DATE(2026,9,16)</f>
        <v>46281</v>
      </c>
      <c r="B46" s="13" t="str">
        <f t="shared" si="0"/>
        <v>Wed</v>
      </c>
      <c r="C46" s="11" t="s">
        <v>280</v>
      </c>
      <c r="D46" s="16" t="s">
        <v>281</v>
      </c>
      <c r="E46" s="11" t="s">
        <v>269</v>
      </c>
    </row>
    <row r="47" spans="1:5" x14ac:dyDescent="0.35">
      <c r="A47" s="12">
        <f>DATE(2026,9,18)</f>
        <v>46283</v>
      </c>
      <c r="B47" s="13" t="str">
        <f t="shared" si="0"/>
        <v>Fri</v>
      </c>
      <c r="C47" s="11" t="s">
        <v>268</v>
      </c>
      <c r="D47" s="11"/>
      <c r="E47" s="11" t="s">
        <v>269</v>
      </c>
    </row>
    <row r="48" spans="1:5" x14ac:dyDescent="0.35">
      <c r="A48" s="12">
        <f>DATE(2026,9,20)</f>
        <v>46285</v>
      </c>
      <c r="B48" s="13" t="str">
        <f t="shared" si="0"/>
        <v>Sun</v>
      </c>
      <c r="C48" s="11" t="s">
        <v>170</v>
      </c>
      <c r="D48" s="11" t="s">
        <v>171</v>
      </c>
      <c r="E48" s="11" t="s">
        <v>127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270</v>
      </c>
      <c r="D49" s="11" t="s">
        <v>255</v>
      </c>
      <c r="E49" s="11" t="s">
        <v>127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272</v>
      </c>
      <c r="D50" s="11" t="s">
        <v>271</v>
      </c>
      <c r="E50" s="11" t="s">
        <v>269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137</v>
      </c>
      <c r="D51" s="11" t="s">
        <v>172</v>
      </c>
      <c r="E51" s="11" t="s">
        <v>134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206</v>
      </c>
      <c r="D52" s="11" t="s">
        <v>211</v>
      </c>
      <c r="E52" s="11" t="s">
        <v>251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207</v>
      </c>
      <c r="D53" s="11" t="s">
        <v>212</v>
      </c>
      <c r="E53" s="11" t="s">
        <v>251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208</v>
      </c>
      <c r="D54" s="11" t="s">
        <v>213</v>
      </c>
      <c r="E54" s="11" t="s">
        <v>251</v>
      </c>
    </row>
    <row r="55" spans="1:7" x14ac:dyDescent="0.35">
      <c r="A55" s="12">
        <f>DATE(2026,10,31)</f>
        <v>46326</v>
      </c>
      <c r="B55" s="13" t="str">
        <f t="shared" ref="B55:B81" si="2">TEXT($A55,"ddd")</f>
        <v>Sat</v>
      </c>
      <c r="C55" s="16" t="s">
        <v>203</v>
      </c>
      <c r="D55" s="11" t="s">
        <v>214</v>
      </c>
      <c r="E55" s="11" t="s">
        <v>134</v>
      </c>
    </row>
    <row r="56" spans="1:7" x14ac:dyDescent="0.35">
      <c r="A56" s="12">
        <f>DATE(2026,11,3)</f>
        <v>46329</v>
      </c>
      <c r="B56" s="13" t="str">
        <f t="shared" si="2"/>
        <v>Tue</v>
      </c>
      <c r="C56" s="16" t="s">
        <v>176</v>
      </c>
      <c r="D56" s="11" t="s">
        <v>215</v>
      </c>
      <c r="E56" s="11" t="s">
        <v>124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175</v>
      </c>
      <c r="D57" s="11" t="s">
        <v>216</v>
      </c>
      <c r="E57" s="11" t="s">
        <v>127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174</v>
      </c>
      <c r="D58" s="16" t="s">
        <v>217</v>
      </c>
      <c r="E58" s="11" t="s">
        <v>134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250</v>
      </c>
      <c r="D59" s="11" t="s">
        <v>218</v>
      </c>
      <c r="E59" s="11" t="s">
        <v>134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177</v>
      </c>
      <c r="D60" s="11" t="s">
        <v>219</v>
      </c>
      <c r="E60" s="11" t="s">
        <v>124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253</v>
      </c>
      <c r="D61" s="11" t="s">
        <v>254</v>
      </c>
      <c r="E61" s="11" t="s">
        <v>252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178</v>
      </c>
      <c r="D62" s="11" t="s">
        <v>220</v>
      </c>
      <c r="E62" s="11" t="s">
        <v>127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179</v>
      </c>
      <c r="D63" s="11" t="s">
        <v>221</v>
      </c>
      <c r="E63" s="11" t="s">
        <v>124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236</v>
      </c>
      <c r="D64" s="11" t="s">
        <v>222</v>
      </c>
      <c r="E64" s="11" t="s">
        <v>252</v>
      </c>
    </row>
    <row r="65" spans="1:5" x14ac:dyDescent="0.35">
      <c r="A65" s="12">
        <f>DATE(2027,4,9)</f>
        <v>46486</v>
      </c>
      <c r="B65" s="13" t="str">
        <f t="shared" si="2"/>
        <v>Fri</v>
      </c>
      <c r="C65" s="11" t="s">
        <v>178</v>
      </c>
      <c r="D65" s="11" t="s">
        <v>220</v>
      </c>
      <c r="E65" s="11" t="s">
        <v>127</v>
      </c>
    </row>
    <row r="66" spans="1:5" x14ac:dyDescent="0.35">
      <c r="A66" s="12">
        <f>DATE(2027,5,19)</f>
        <v>46526</v>
      </c>
      <c r="B66" s="13" t="str">
        <f t="shared" si="2"/>
        <v>Wed</v>
      </c>
      <c r="C66" s="11" t="s">
        <v>180</v>
      </c>
      <c r="D66" s="11" t="s">
        <v>223</v>
      </c>
      <c r="E66" s="11" t="s">
        <v>251</v>
      </c>
    </row>
    <row r="67" spans="1:5" x14ac:dyDescent="0.35">
      <c r="A67" s="12">
        <f>DATE(2027,5,20)</f>
        <v>46527</v>
      </c>
      <c r="B67" s="13" t="str">
        <f t="shared" si="2"/>
        <v>Thu</v>
      </c>
      <c r="C67" s="11" t="s">
        <v>181</v>
      </c>
      <c r="D67" s="11" t="s">
        <v>224</v>
      </c>
      <c r="E67" s="11" t="s">
        <v>251</v>
      </c>
    </row>
    <row r="68" spans="1:5" x14ac:dyDescent="0.35">
      <c r="A68" s="12">
        <f>DATE(2027,5,21)</f>
        <v>46528</v>
      </c>
      <c r="B68" s="13" t="str">
        <f t="shared" si="2"/>
        <v>Fri</v>
      </c>
      <c r="C68" s="11" t="s">
        <v>182</v>
      </c>
      <c r="D68" s="11" t="s">
        <v>225</v>
      </c>
      <c r="E68" s="11" t="s">
        <v>251</v>
      </c>
    </row>
    <row r="69" spans="1:5" x14ac:dyDescent="0.35">
      <c r="A69" s="12">
        <f>DATE(2027,5,28)</f>
        <v>46535</v>
      </c>
      <c r="B69" s="13" t="str">
        <f t="shared" si="2"/>
        <v>Fri</v>
      </c>
      <c r="C69" s="11" t="s">
        <v>183</v>
      </c>
      <c r="D69" s="11" t="s">
        <v>226</v>
      </c>
      <c r="E69" s="11" t="s">
        <v>124</v>
      </c>
    </row>
    <row r="70" spans="1:5" x14ac:dyDescent="0.35">
      <c r="A70" s="12">
        <f>DATE(2027,6,11)</f>
        <v>46549</v>
      </c>
      <c r="B70" s="13" t="str">
        <f t="shared" si="2"/>
        <v>Fri</v>
      </c>
      <c r="C70" s="11" t="s">
        <v>178</v>
      </c>
      <c r="D70" s="11" t="s">
        <v>220</v>
      </c>
      <c r="E70" s="11" t="s">
        <v>127</v>
      </c>
    </row>
    <row r="71" spans="1:5" x14ac:dyDescent="0.35">
      <c r="A71" s="12">
        <f>DATE(2027,7,9)</f>
        <v>46577</v>
      </c>
      <c r="B71" s="13" t="str">
        <f t="shared" si="2"/>
        <v>Fri</v>
      </c>
      <c r="C71" s="11" t="s">
        <v>178</v>
      </c>
      <c r="D71" s="11" t="s">
        <v>220</v>
      </c>
      <c r="E71" s="11" t="s">
        <v>127</v>
      </c>
    </row>
    <row r="72" spans="1:5" x14ac:dyDescent="0.35">
      <c r="A72" s="12">
        <f>DATE(2027,7,30)</f>
        <v>46598</v>
      </c>
      <c r="B72" s="13" t="str">
        <f t="shared" si="2"/>
        <v>Fri</v>
      </c>
      <c r="C72" s="11" t="s">
        <v>184</v>
      </c>
      <c r="D72" s="11" t="s">
        <v>227</v>
      </c>
      <c r="E72" s="11" t="s">
        <v>127</v>
      </c>
    </row>
    <row r="73" spans="1:5" x14ac:dyDescent="0.35">
      <c r="A73" s="12">
        <f>DATE(2027,8,16)</f>
        <v>46615</v>
      </c>
      <c r="B73" s="13" t="str">
        <f t="shared" si="2"/>
        <v>Mon</v>
      </c>
      <c r="C73" s="11" t="s">
        <v>185</v>
      </c>
      <c r="D73" s="11" t="s">
        <v>228</v>
      </c>
      <c r="E73" s="11" t="s">
        <v>251</v>
      </c>
    </row>
    <row r="74" spans="1:5" x14ac:dyDescent="0.35">
      <c r="A74" s="12">
        <f>DATE(2027,8,20)</f>
        <v>46619</v>
      </c>
      <c r="B74" s="13" t="str">
        <f t="shared" si="2"/>
        <v>Fri</v>
      </c>
      <c r="C74" s="11" t="s">
        <v>186</v>
      </c>
      <c r="D74" s="11" t="s">
        <v>229</v>
      </c>
      <c r="E74" s="11" t="s">
        <v>127</v>
      </c>
    </row>
    <row r="75" spans="1:5" x14ac:dyDescent="0.35">
      <c r="A75" s="12">
        <f>DATE(2027,9,10)</f>
        <v>46640</v>
      </c>
      <c r="B75" s="13" t="str">
        <f t="shared" si="2"/>
        <v>Fri</v>
      </c>
      <c r="C75" s="11" t="s">
        <v>178</v>
      </c>
      <c r="D75" s="11" t="s">
        <v>220</v>
      </c>
      <c r="E75" s="11" t="s">
        <v>127</v>
      </c>
    </row>
    <row r="76" spans="1:5" x14ac:dyDescent="0.35">
      <c r="A76" s="12">
        <f>DATE(2027,9,18)</f>
        <v>46648</v>
      </c>
      <c r="B76" s="13" t="str">
        <f t="shared" si="2"/>
        <v>Sat</v>
      </c>
      <c r="C76" s="11" t="s">
        <v>187</v>
      </c>
      <c r="D76" s="11" t="s">
        <v>230</v>
      </c>
      <c r="E76" s="11" t="s">
        <v>134</v>
      </c>
    </row>
    <row r="77" spans="1:5" x14ac:dyDescent="0.35">
      <c r="A77" s="12">
        <f>DATE(2027,10,1)</f>
        <v>46661</v>
      </c>
      <c r="B77" s="13" t="str">
        <f t="shared" si="2"/>
        <v>Fri</v>
      </c>
      <c r="C77" s="11" t="s">
        <v>178</v>
      </c>
      <c r="D77" s="11" t="s">
        <v>220</v>
      </c>
      <c r="E77" s="11" t="s">
        <v>127</v>
      </c>
    </row>
    <row r="78" spans="1:5" x14ac:dyDescent="0.35">
      <c r="A78" s="12">
        <f>DATE(2027,10,15)</f>
        <v>46675</v>
      </c>
      <c r="B78" s="13" t="str">
        <f t="shared" si="2"/>
        <v>Fri</v>
      </c>
      <c r="C78" s="11" t="s">
        <v>178</v>
      </c>
      <c r="D78" s="11" t="s">
        <v>220</v>
      </c>
      <c r="E78" s="11" t="s">
        <v>127</v>
      </c>
    </row>
    <row r="79" spans="1:5" x14ac:dyDescent="0.35">
      <c r="A79" s="12">
        <f>DATE(2027,11,12)</f>
        <v>46703</v>
      </c>
      <c r="B79" s="13" t="str">
        <f t="shared" si="2"/>
        <v>Fri</v>
      </c>
      <c r="C79" s="11" t="s">
        <v>178</v>
      </c>
      <c r="D79" s="11" t="s">
        <v>220</v>
      </c>
      <c r="E79" s="11" t="s">
        <v>127</v>
      </c>
    </row>
    <row r="80" spans="1:5" x14ac:dyDescent="0.35">
      <c r="A80" s="12">
        <f>DATE(2027,11,26)</f>
        <v>46717</v>
      </c>
      <c r="B80" s="13" t="str">
        <f t="shared" si="2"/>
        <v>Fri</v>
      </c>
      <c r="C80" s="11" t="s">
        <v>178</v>
      </c>
      <c r="D80" s="11" t="s">
        <v>220</v>
      </c>
      <c r="E80" s="11" t="s">
        <v>127</v>
      </c>
    </row>
    <row r="81" spans="1:5" x14ac:dyDescent="0.35">
      <c r="A81" s="12">
        <f>DATE(2027,12,16)</f>
        <v>46737</v>
      </c>
      <c r="B81" s="13" t="str">
        <f t="shared" si="2"/>
        <v>Thu</v>
      </c>
      <c r="C81" s="11" t="s">
        <v>174</v>
      </c>
      <c r="D81" s="16" t="s">
        <v>217</v>
      </c>
      <c r="E81" s="11" t="s">
        <v>134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85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86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95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87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88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98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104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89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84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96</v>
      </c>
    </row>
    <row r="13" spans="1:4" ht="15" thickBot="1" x14ac:dyDescent="0.4">
      <c r="A13" s="4">
        <v>12</v>
      </c>
      <c r="B13" s="7" t="s">
        <v>58</v>
      </c>
      <c r="C13" s="9"/>
      <c r="D13" s="4" t="s">
        <v>105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91</v>
      </c>
    </row>
    <row r="15" spans="1:4" ht="15" thickBot="1" x14ac:dyDescent="0.4">
      <c r="A15" s="4">
        <v>14</v>
      </c>
      <c r="B15" s="7" t="s">
        <v>61</v>
      </c>
      <c r="C15" s="8" t="s">
        <v>62</v>
      </c>
      <c r="D15" s="4" t="s">
        <v>99</v>
      </c>
    </row>
    <row r="16" spans="1:4" ht="15" thickBot="1" x14ac:dyDescent="0.4">
      <c r="A16" s="4">
        <v>15</v>
      </c>
      <c r="B16" s="7" t="s">
        <v>63</v>
      </c>
      <c r="C16" s="8" t="s">
        <v>64</v>
      </c>
      <c r="D16" s="4" t="s">
        <v>97</v>
      </c>
    </row>
    <row r="17" spans="1:4" ht="15" thickBot="1" x14ac:dyDescent="0.4">
      <c r="A17" s="4">
        <v>16</v>
      </c>
      <c r="B17" s="7" t="s">
        <v>188</v>
      </c>
      <c r="C17" s="8" t="s">
        <v>65</v>
      </c>
      <c r="D17" s="4" t="s">
        <v>107</v>
      </c>
    </row>
    <row r="18" spans="1:4" ht="15" thickBot="1" x14ac:dyDescent="0.4">
      <c r="A18" s="4">
        <v>17</v>
      </c>
      <c r="B18" s="7" t="s">
        <v>66</v>
      </c>
      <c r="C18" s="8" t="s">
        <v>67</v>
      </c>
      <c r="D18" s="4" t="s">
        <v>108</v>
      </c>
    </row>
    <row r="19" spans="1:4" ht="15" thickBot="1" x14ac:dyDescent="0.4">
      <c r="A19" s="4">
        <v>18</v>
      </c>
      <c r="B19" s="7" t="s">
        <v>68</v>
      </c>
      <c r="C19" s="8" t="s">
        <v>69</v>
      </c>
      <c r="D19" s="4" t="s">
        <v>92</v>
      </c>
    </row>
    <row r="20" spans="1:4" ht="15" thickBot="1" x14ac:dyDescent="0.4">
      <c r="A20" s="4">
        <v>19</v>
      </c>
      <c r="B20" s="7" t="s">
        <v>70</v>
      </c>
      <c r="C20" s="8" t="s">
        <v>71</v>
      </c>
      <c r="D20" s="4" t="s">
        <v>100</v>
      </c>
    </row>
    <row r="21" spans="1:4" ht="15" thickBot="1" x14ac:dyDescent="0.4">
      <c r="A21" s="4">
        <v>20</v>
      </c>
      <c r="B21" s="7" t="s">
        <v>72</v>
      </c>
      <c r="C21" s="8" t="s">
        <v>73</v>
      </c>
      <c r="D21" s="4" t="s">
        <v>101</v>
      </c>
    </row>
    <row r="22" spans="1:4" ht="15" thickBot="1" x14ac:dyDescent="0.4">
      <c r="A22" s="4">
        <v>21</v>
      </c>
      <c r="B22" s="7" t="s">
        <v>74</v>
      </c>
      <c r="C22" s="8" t="s">
        <v>75</v>
      </c>
      <c r="D22" s="4" t="s">
        <v>109</v>
      </c>
    </row>
    <row r="23" spans="1:4" ht="15" thickBot="1" x14ac:dyDescent="0.4">
      <c r="A23" s="4">
        <v>22</v>
      </c>
      <c r="B23" s="7" t="s">
        <v>76</v>
      </c>
      <c r="C23" s="8" t="s">
        <v>77</v>
      </c>
      <c r="D23" s="4" t="s">
        <v>102</v>
      </c>
    </row>
    <row r="24" spans="1:4" ht="15" thickBot="1" x14ac:dyDescent="0.4">
      <c r="A24" s="4">
        <v>23</v>
      </c>
      <c r="B24" s="7" t="s">
        <v>78</v>
      </c>
      <c r="C24" s="8" t="s">
        <v>79</v>
      </c>
      <c r="D24" s="4" t="s">
        <v>103</v>
      </c>
    </row>
    <row r="25" spans="1:4" ht="15" thickBot="1" x14ac:dyDescent="0.4">
      <c r="A25" s="4">
        <v>24</v>
      </c>
      <c r="B25" s="7" t="s">
        <v>80</v>
      </c>
      <c r="C25" s="8" t="s">
        <v>81</v>
      </c>
      <c r="D25" s="4" t="s">
        <v>93</v>
      </c>
    </row>
    <row r="26" spans="1:4" ht="15" thickBot="1" x14ac:dyDescent="0.4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173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112</v>
      </c>
      <c r="E4" s="4" t="s">
        <v>276</v>
      </c>
      <c r="F4" s="4" t="s">
        <v>95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112</v>
      </c>
      <c r="E5" s="4" t="s">
        <v>276</v>
      </c>
      <c r="F5" s="4" t="s">
        <v>88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112</v>
      </c>
      <c r="E6" s="4" t="s">
        <v>276</v>
      </c>
      <c r="F6" s="4" t="s">
        <v>104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112</v>
      </c>
      <c r="E7" s="4" t="s">
        <v>276</v>
      </c>
      <c r="F7" s="4" t="s">
        <v>90</v>
      </c>
    </row>
    <row r="8" spans="1:6" x14ac:dyDescent="0.35">
      <c r="A8" s="4">
        <v>7</v>
      </c>
      <c r="B8" s="4" t="s">
        <v>68</v>
      </c>
      <c r="C8" s="4" t="s">
        <v>69</v>
      </c>
      <c r="D8" s="4" t="s">
        <v>112</v>
      </c>
      <c r="E8" s="4" t="s">
        <v>276</v>
      </c>
      <c r="F8" s="4" t="s">
        <v>92</v>
      </c>
    </row>
    <row r="9" spans="1:6" x14ac:dyDescent="0.35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35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35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35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189</v>
      </c>
      <c r="B2" s="16" t="s">
        <v>190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35">
      <c r="A3" s="16" t="s">
        <v>189</v>
      </c>
      <c r="B3" s="16" t="s">
        <v>190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35">
      <c r="A4" s="16" t="s">
        <v>189</v>
      </c>
      <c r="B4" s="16" t="s">
        <v>190</v>
      </c>
      <c r="C4" s="17">
        <v>3</v>
      </c>
      <c r="D4" s="16" t="s">
        <v>188</v>
      </c>
      <c r="E4" s="16" t="s">
        <v>65</v>
      </c>
      <c r="F4" s="16" t="s">
        <v>29</v>
      </c>
      <c r="G4" s="16" t="s">
        <v>107</v>
      </c>
    </row>
    <row r="5" spans="1:7" x14ac:dyDescent="0.35">
      <c r="A5" s="16" t="s">
        <v>189</v>
      </c>
      <c r="B5" s="16" t="s">
        <v>190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35">
      <c r="A6" s="16" t="s">
        <v>189</v>
      </c>
      <c r="B6" s="16" t="s">
        <v>190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35">
      <c r="A7" s="16" t="s">
        <v>191</v>
      </c>
      <c r="B7" s="16" t="s">
        <v>192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35">
      <c r="A8" s="16" t="s">
        <v>191</v>
      </c>
      <c r="B8" s="16" t="s">
        <v>192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35">
      <c r="A9" s="16" t="s">
        <v>193</v>
      </c>
      <c r="B9" s="16" t="s">
        <v>194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35">
      <c r="A10" s="16" t="s">
        <v>193</v>
      </c>
      <c r="B10" s="16" t="s">
        <v>194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35">
      <c r="A11" s="16" t="s">
        <v>195</v>
      </c>
      <c r="B11" s="16" t="s">
        <v>196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35">
      <c r="A12" s="16" t="s">
        <v>195</v>
      </c>
      <c r="B12" s="16" t="s">
        <v>196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35">
      <c r="A13" s="16" t="s">
        <v>195</v>
      </c>
      <c r="B13" s="16" t="s">
        <v>196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35">
      <c r="A14" s="16" t="s">
        <v>195</v>
      </c>
      <c r="B14" s="16" t="s">
        <v>196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35">
      <c r="A15" s="16" t="s">
        <v>197</v>
      </c>
      <c r="B15" s="16" t="s">
        <v>198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35">
      <c r="A16" s="16" t="s">
        <v>197</v>
      </c>
      <c r="B16" s="16" t="s">
        <v>198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" thickBot="1" x14ac:dyDescent="0.4">
      <c r="A17" s="16" t="s">
        <v>199</v>
      </c>
      <c r="B17" s="16" t="s">
        <v>200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35">
      <c r="A18" s="16" t="s">
        <v>199</v>
      </c>
      <c r="B18" s="16" t="s">
        <v>200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35">
      <c r="A19" s="16" t="s">
        <v>199</v>
      </c>
      <c r="B19" s="16" t="s">
        <v>200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35">
      <c r="A20" s="16" t="s">
        <v>201</v>
      </c>
      <c r="B20" s="16" t="s">
        <v>202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35">
      <c r="A21" s="16" t="s">
        <v>201</v>
      </c>
      <c r="B21" s="16" t="s">
        <v>202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35">
      <c r="A22" s="16" t="s">
        <v>201</v>
      </c>
      <c r="B22" s="16" t="s">
        <v>202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256</v>
      </c>
    </row>
    <row r="3" spans="1:2" x14ac:dyDescent="0.35">
      <c r="A3" s="4" t="s">
        <v>36</v>
      </c>
      <c r="B3" s="4" t="s">
        <v>277</v>
      </c>
    </row>
    <row r="4" spans="1:2" x14ac:dyDescent="0.35">
      <c r="A4" t="s">
        <v>204</v>
      </c>
      <c r="B4" t="s">
        <v>205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2026-08-12T10:13:40Z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