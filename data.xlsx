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65" documentId="11_A88C884250063A86F00218599B70D26268CCBE65" xr6:coauthVersionLast="47" xr6:coauthVersionMax="47" xr10:uidLastSave="{A000803B-3E5B-4E58-A395-2D2B786D9617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" i="5" l="1"/>
  <c r="B42" i="5"/>
  <c r="A27" i="5"/>
  <c r="B27" i="5" s="1"/>
  <c r="A26" i="5"/>
  <c r="B26" i="5" s="1"/>
  <c r="A23" i="5"/>
  <c r="B23" i="5" s="1"/>
  <c r="A21" i="5"/>
  <c r="B21" i="5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2" i="5"/>
  <c r="B22" i="5" s="1"/>
  <c r="A24" i="5"/>
  <c r="B24" i="5" s="1"/>
  <c r="A25" i="5"/>
  <c r="B25" i="5" s="1"/>
  <c r="A28" i="5"/>
  <c r="B28" i="5" s="1"/>
  <c r="B34" i="5"/>
  <c r="A40" i="5"/>
  <c r="B40" i="5" s="1"/>
  <c r="B44" i="5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<sst xmlns="http://schemas.openxmlformats.org/spreadsheetml/2006/main" count="526" uniqueCount="279">
  <si>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</si>
  <si>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</si>
  <si>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</si>
  <si>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</si>
  <si>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</si>
  <si>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</si>
  <si>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</si>
  <si>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</si>
  <si>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</si>
  <si>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</si>
  <si>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</si>
  <si>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</si>
  <si>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</si>
  <si>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</si>
  <si>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</si>
  <si>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</si>
  <si>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</si>
  <si>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</si>
  <si>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</si>
  <si>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</si>
  <si>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</si>
  <si>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</si>
  <si>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</si>
  <si>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</si>
  <si>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</si>
  <si>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</si>
  <si>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</si>
  <si>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</si>
  <si>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</si>
  <si>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</si>
  <si>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</si>
  <si>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</si>
  <si>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</si>
  <si>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</si>
  <si>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</si>
  <si>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</si>
  <si>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</si>
  <si>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</si>
  <si>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</si>
  <si>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</si>
  <si>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</si>
  <si>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</si>
  <si>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</si>
  <si>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</si>
  <si>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</si>
  <si>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</si>
  <si>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</si>
  <si>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</si>
  <si>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</si>
  <si>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</si>
  <si>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</si>
  <si>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</si>
  <si>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</si>
  <si>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</si>
  <si>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</si>
  <si>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</si>
  <si>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</si>
  <si>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</si>
  <si>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</si>
  <si>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</si>
  <si>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</si>
  <si>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</si>
  <si>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</si>
  <si>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</si>
  <si>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</si>
  <si>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</si>
  <si>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</si>
  <si>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</si>
  <si>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</si>
  <si>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</si>
  <si>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</si>
  <si>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</si>
  <si>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</si>
  <si>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</si>
  <si>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</si>
  <si>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</si>
  <si>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</si>
  <si>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</si>
  <si>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</si>
  <si>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</si>
  <si>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</si>
  <si>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</si>
  <si>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</si>
  <si>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</si>
  <si>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</si>
  <si>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</si>
  <si>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</si>
  <si>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</si>
  <si>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</si>
  <si>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</si>
  <si>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</si>
  <si>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</si>
  <si>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</si>
  <si>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</si>
  <si>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</si>
  <si>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</si>
  <si>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</si>
  <si>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</si>
  <si>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</si>
  <si>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</si>
  <si>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</si>
  <si>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</si>
  <si>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</si>
  <si>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</si>
  <si>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</si>
  <si>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</si>
  <si>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</si>
  <si>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</si>
  <si>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</si>
  <si>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</si>
  <si>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</si>
  <si>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</si>
  <si>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</si>
  <si>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</si>
  <si>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</si>
  <si>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</si>
  <si>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</si>
  <si>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</si>
  <si>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</si>
  <si>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</si>
  <si>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</si>
  <si>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</si>
  <si>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</si>
  <si>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</si>
  <si>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</si>
  <si>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</si>
  <si>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</si>
  <si>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</si>
  <si>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</si>
  <si>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</si>
  <si>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</si>
  <si>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</si>
  <si>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</si>
  <si>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</si>
  <si>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</si>
  <si>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</si>
  <si>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</si>
  <si>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</si>
  <si>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</si>
  <si>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</si>
  <si>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</si>
  <si>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</si>
  <si>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</si>
  <si>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</si>
  <si>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</si>
  <si>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</si>
  <si>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</si>
  <si>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</si>
  <si>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</si>
  <si>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</si>
  <si>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</si>
  <si>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</si>
  <si>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</si>
  <si>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</si>
  <si>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</si>
  <si>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</si>
  <si>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</si>
  <si>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</si>
  <si>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</si>
  <si>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</si>
  <si>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</si>
  <si>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</si>
  <si>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</si>
  <si>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</si>
  <si>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</si>
  <si>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</si>
  <si>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</si>
  <si>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</si>
  <si>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</si>
  <si>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</si>
  <si>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</si>
  <si>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</si>
  <si>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</si>
  <si>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</si>
  <si>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</si>
  <si>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</si>
  <si>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</si>
  <si>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</si>
  <si>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</si>
  <si>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</si>
  <si>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</si>
  <si>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</si>
  <si>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</si>
  <si>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</si>
  <si>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</si>
  <si>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</si>
  <si>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</si>
  <si>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</si>
  <si>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</si>
  <si>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</si>
  <si>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</si>
  <si>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</si>
  <si>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</si>
  <si>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</si>
  <si>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</si>
  <si>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</si>
  <si>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</si>
  <si>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</si>
  <si>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</si>
  <si>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</si>
  <si>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</si>
  <si>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</si>
  <si>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</si>
  <si>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</si>
  <si>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</si>
  <si>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</si>
  <si>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</si>
  <si>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</si>
  <si>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</si>
  <si>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</si>
  <si>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</si>
  <si>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</si>
  <si>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</si>
  <si>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</si>
  <si>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</si>
  <si>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</si>
  <si>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</si>
  <si>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</si>
  <si>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</si>
  <si>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</si>
  <si>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</si>
  <si>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</si>
  <si>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</si>
  <si>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</si>
  <si>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</si>
  <si>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</si>
  <si>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</si>
  <si>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</si>
  <si>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</si>
  <si>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</si>
  <si>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</si>
  <si>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</si>
  <si>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</si>
  <si>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</si>
  <si>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</si>
  <si>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</si>
  <si>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</si>
  <si>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</si>
  <si>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</si>
  <si>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</si>
  <si>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</si>
  <si>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</si>
  <si>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</si>
  <si>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</si>
  <si>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</si>
  <si>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</si>
  <si>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</si>
  <si>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</si>
  <si>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</si>
  <si>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</si>
  <si>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</si>
  <si>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</si>
  <si>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</si>
  <si>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</si>
  <si>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</si>
  <si>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</si>
  <si>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</si>
  <si>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</si>
  <si>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</si>
  <si>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</si>
  <si>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</si>
  <si>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</si>
  <si>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</si>
  <si>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</si>
  <si>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</si>
  <si>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</si>
  <si>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</si>
  <si>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</si>
  <si>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南凤善堂中元会.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</si>
  <si>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</si>
  <si>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</si>
  <si>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</si>
  <si>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</si>
  <si>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</si>
  <si>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</si>
  <si>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</si>
  <si>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</si>
  <si>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义顺南旺村中元会。普施祭祖法会。 (代表：Doran, Bryan, 丽菁, 丽丝和先生）</t>
  </si>
  <si>
    <t>Lunar July (ZhongYuan Festival) - Nam Hong Siang Theon Temple Prayers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</si>
</sst>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6"/>
  <sheetViews>
    <sheetView tabSelected="1" workbookViewId="0">
      <pane ySplit="1" topLeftCell="A11" activePane="bottomLeft" state="frozen"/>
      <selection pane="bottomLeft" activeCell="C43" sqref="C43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8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6" t="s">
        <v>256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156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157</v>
      </c>
      <c r="D13" s="11" t="s">
        <v>158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159</v>
      </c>
      <c r="D14" s="11" t="s">
        <v>160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161</v>
      </c>
      <c r="D15" s="11" t="s">
        <v>162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163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164</v>
      </c>
      <c r="D17" s="11" t="s">
        <v>165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166</v>
      </c>
      <c r="D18" s="11" t="s">
        <v>167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168</v>
      </c>
      <c r="D19" s="11" t="s">
        <v>169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170</v>
      </c>
      <c r="D20" s="11" t="s">
        <v>171</v>
      </c>
      <c r="E20" s="11" t="s">
        <v>138</v>
      </c>
    </row>
    <row r="21" spans="1:5" x14ac:dyDescent="0.35">
      <c r="A21" s="12">
        <f>DATE(2026,6,12)</f>
        <v>46185</v>
      </c>
      <c r="B21" s="13" t="str">
        <f t="shared" si="0"/>
        <v>Fri</v>
      </c>
      <c r="C21" s="11" t="s">
        <v>135</v>
      </c>
      <c r="D21" s="16" t="s">
        <v>257</v>
      </c>
      <c r="E21" s="11" t="s">
        <v>127</v>
      </c>
    </row>
    <row r="22" spans="1:5" x14ac:dyDescent="0.35">
      <c r="A22" s="12">
        <f>DATE(2026,6,13)</f>
        <v>46186</v>
      </c>
      <c r="B22" s="13" t="str">
        <f t="shared" si="0"/>
        <v>Sat</v>
      </c>
      <c r="C22" s="11" t="s">
        <v>140</v>
      </c>
      <c r="D22" s="11" t="s">
        <v>172</v>
      </c>
      <c r="E22" s="11" t="s">
        <v>127</v>
      </c>
    </row>
    <row r="23" spans="1:5" x14ac:dyDescent="0.35">
      <c r="A23" s="12">
        <f>DATE(2026,6,20)</f>
        <v>46193</v>
      </c>
      <c r="B23" s="13" t="str">
        <f t="shared" si="0"/>
        <v>Sat</v>
      </c>
      <c r="C23" s="11" t="s">
        <v>135</v>
      </c>
      <c r="D23" s="16" t="s">
        <v>257</v>
      </c>
      <c r="E23" s="11" t="s">
        <v>127</v>
      </c>
    </row>
    <row r="24" spans="1:5" x14ac:dyDescent="0.35">
      <c r="A24" s="12">
        <f>DATE(2026,7,3)</f>
        <v>46206</v>
      </c>
      <c r="B24" s="13" t="str">
        <f t="shared" si="0"/>
        <v>Fri</v>
      </c>
      <c r="C24" s="11" t="s">
        <v>173</v>
      </c>
      <c r="D24" s="11" t="s">
        <v>174</v>
      </c>
      <c r="E24" s="11" t="s">
        <v>131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1" t="s">
        <v>222</v>
      </c>
      <c r="D25" s="11" t="s">
        <v>223</v>
      </c>
      <c r="E25" s="11" t="s">
        <v>131</v>
      </c>
    </row>
    <row r="26" spans="1:5" x14ac:dyDescent="0.35">
      <c r="A26" s="12">
        <f>DATE(2026,7,24)</f>
        <v>46227</v>
      </c>
      <c r="B26" s="13" t="str">
        <f t="shared" si="0"/>
        <v>Fri</v>
      </c>
      <c r="C26" s="16" t="s">
        <v>135</v>
      </c>
      <c r="D26" s="16" t="s">
        <v>258</v>
      </c>
      <c r="E26" s="11" t="s">
        <v>127</v>
      </c>
    </row>
    <row r="27" spans="1:5" x14ac:dyDescent="0.35">
      <c r="A27" s="12">
        <f>DATE(2026,7,25)</f>
        <v>46228</v>
      </c>
      <c r="B27" s="13" t="str">
        <f t="shared" si="0"/>
        <v>Sat</v>
      </c>
      <c r="C27" s="16" t="s">
        <v>135</v>
      </c>
      <c r="D27" s="16" t="s">
        <v>258</v>
      </c>
      <c r="E27" s="11" t="s">
        <v>127</v>
      </c>
    </row>
    <row r="28" spans="1:5" x14ac:dyDescent="0.35">
      <c r="A28" s="12">
        <f>DATE(2026,8,1)</f>
        <v>46235</v>
      </c>
      <c r="B28" s="13" t="str">
        <f t="shared" si="0"/>
        <v>Sat</v>
      </c>
      <c r="C28" s="11" t="s">
        <v>254</v>
      </c>
      <c r="D28" s="11" t="s">
        <v>255</v>
      </c>
      <c r="E28" s="11" t="s">
        <v>131</v>
      </c>
    </row>
    <row r="29" spans="1:5" x14ac:dyDescent="0.35">
      <c r="A29" s="12">
        <f>DATE(2026,8,8)</f>
        <v>46242</v>
      </c>
      <c r="B29" s="13" t="str">
        <f t="shared" ref="B29:B38" si="1">TEXT($A29,"ddd")</f>
        <v>Sat</v>
      </c>
      <c r="C29" s="11" t="s">
        <v>264</v>
      </c>
      <c r="D29" s="16" t="s">
        <v>249</v>
      </c>
      <c r="E29" s="11" t="s">
        <v>138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265</v>
      </c>
      <c r="D30" s="16" t="s">
        <v>250</v>
      </c>
      <c r="E30" s="11" t="s">
        <v>138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260</v>
      </c>
      <c r="D31" s="16" t="s">
        <v>259</v>
      </c>
      <c r="E31" s="11" t="s">
        <v>138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261</v>
      </c>
      <c r="D32" s="11" t="s">
        <v>247</v>
      </c>
      <c r="E32" s="11" t="s">
        <v>138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269</v>
      </c>
      <c r="D33" t="s">
        <v>270</v>
      </c>
      <c r="E33" s="11" t="s">
        <v>138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175</v>
      </c>
      <c r="D34" s="11" t="s">
        <v>176</v>
      </c>
      <c r="E34" s="11" t="s">
        <v>127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271</v>
      </c>
      <c r="D35" s="11" t="s">
        <v>272</v>
      </c>
      <c r="E35" s="11" t="s">
        <v>138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273</v>
      </c>
      <c r="D36" s="16" t="s">
        <v>274</v>
      </c>
      <c r="E36" s="11" t="s">
        <v>138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262</v>
      </c>
      <c r="D37" s="11" t="s">
        <v>248</v>
      </c>
      <c r="E37" s="11" t="s">
        <v>138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266</v>
      </c>
      <c r="D38" s="16" t="s">
        <v>251</v>
      </c>
      <c r="E38" s="11" t="s">
        <v>138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275</v>
      </c>
      <c r="D39" s="11" t="s">
        <v>276</v>
      </c>
      <c r="E39" s="11" t="s">
        <v>138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177</v>
      </c>
      <c r="D40" s="11" t="s">
        <v>178</v>
      </c>
      <c r="E40" s="11" t="s">
        <v>131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267</v>
      </c>
      <c r="D41" s="16" t="s">
        <v>252</v>
      </c>
      <c r="E41" s="11" t="s">
        <v>138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278</v>
      </c>
      <c r="D42" s="16" t="s">
        <v>268</v>
      </c>
      <c r="E42" s="11" t="s">
        <v>138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263</v>
      </c>
      <c r="D43" s="16" t="s">
        <v>277</v>
      </c>
      <c r="E43" s="11" t="s">
        <v>138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179</v>
      </c>
      <c r="D44" s="11" t="s">
        <v>180</v>
      </c>
      <c r="E44" s="11" t="s">
        <v>141</v>
      </c>
    </row>
    <row r="45" spans="1:7" x14ac:dyDescent="0.35">
      <c r="A45" s="12">
        <f>DATE(2026,10,10)</f>
        <v>46305</v>
      </c>
      <c r="B45" s="13" t="str">
        <f t="shared" si="0"/>
        <v>Sat</v>
      </c>
      <c r="C45" s="11" t="s">
        <v>142</v>
      </c>
      <c r="D45" s="11" t="s">
        <v>181</v>
      </c>
      <c r="E45" s="11" t="s">
        <v>138</v>
      </c>
    </row>
    <row r="46" spans="1:7" x14ac:dyDescent="0.35">
      <c r="A46" s="12">
        <f>DATE(2026,10,12)</f>
        <v>46307</v>
      </c>
      <c r="B46" s="13" t="str">
        <f t="shared" si="0"/>
        <v>Mon</v>
      </c>
      <c r="C46" s="11" t="s">
        <v>219</v>
      </c>
      <c r="D46" s="11" t="s">
        <v>225</v>
      </c>
      <c r="E46" s="11" t="s">
        <v>138</v>
      </c>
      <c r="G46" s="19"/>
    </row>
    <row r="47" spans="1:7" x14ac:dyDescent="0.35">
      <c r="A47" s="12">
        <f>DATE(2026,10,13)</f>
        <v>46308</v>
      </c>
      <c r="B47" s="13" t="str">
        <f t="shared" si="0"/>
        <v>Tue</v>
      </c>
      <c r="C47" s="11" t="s">
        <v>220</v>
      </c>
      <c r="D47" s="11" t="s">
        <v>226</v>
      </c>
      <c r="E47" s="11" t="s">
        <v>138</v>
      </c>
    </row>
    <row r="48" spans="1:7" x14ac:dyDescent="0.35">
      <c r="A48" s="12">
        <f>DATE(2026,10,14)</f>
        <v>46309</v>
      </c>
      <c r="B48" s="13" t="str">
        <f t="shared" si="0"/>
        <v>Wed</v>
      </c>
      <c r="C48" s="11" t="s">
        <v>221</v>
      </c>
      <c r="D48" s="11" t="s">
        <v>227</v>
      </c>
      <c r="E48" s="11" t="s">
        <v>138</v>
      </c>
    </row>
    <row r="49" spans="1:5" x14ac:dyDescent="0.35">
      <c r="A49" s="12">
        <f>DATE(2026,10,31)</f>
        <v>46326</v>
      </c>
      <c r="B49" s="13" t="str">
        <f t="shared" ref="B49:B76" si="2">TEXT($A49,"ddd")</f>
        <v>Sat</v>
      </c>
      <c r="C49" s="16" t="s">
        <v>216</v>
      </c>
      <c r="D49" s="11" t="s">
        <v>228</v>
      </c>
      <c r="E49" s="11" t="s">
        <v>138</v>
      </c>
    </row>
    <row r="50" spans="1:5" x14ac:dyDescent="0.35">
      <c r="A50" s="12">
        <f>DATE(2026,11,3)</f>
        <v>46329</v>
      </c>
      <c r="B50" s="13" t="str">
        <f t="shared" si="2"/>
        <v>Tue</v>
      </c>
      <c r="C50" s="16" t="s">
        <v>185</v>
      </c>
      <c r="D50" s="11" t="s">
        <v>229</v>
      </c>
      <c r="E50" s="11" t="s">
        <v>127</v>
      </c>
    </row>
    <row r="51" spans="1:5" x14ac:dyDescent="0.35">
      <c r="A51" s="12">
        <f>DATE(2026,11,10)</f>
        <v>46336</v>
      </c>
      <c r="B51" s="13" t="str">
        <f t="shared" si="2"/>
        <v>Tue</v>
      </c>
      <c r="C51" s="16" t="s">
        <v>184</v>
      </c>
      <c r="D51" s="11" t="s">
        <v>230</v>
      </c>
      <c r="E51" s="11" t="s">
        <v>127</v>
      </c>
    </row>
    <row r="52" spans="1:5" x14ac:dyDescent="0.35">
      <c r="A52" s="12">
        <f>DATE(2026,12,16)</f>
        <v>46372</v>
      </c>
      <c r="B52" s="13" t="str">
        <f t="shared" si="2"/>
        <v>Wed</v>
      </c>
      <c r="C52" s="16" t="s">
        <v>183</v>
      </c>
      <c r="D52" s="16" t="s">
        <v>231</v>
      </c>
      <c r="E52" s="11" t="s">
        <v>138</v>
      </c>
    </row>
    <row r="53" spans="1:5" x14ac:dyDescent="0.35">
      <c r="A53" s="12">
        <f>DATE(2027,1,1)</f>
        <v>46388</v>
      </c>
      <c r="B53" s="13" t="str">
        <f t="shared" si="2"/>
        <v>Fri</v>
      </c>
      <c r="C53" s="16" t="s">
        <v>186</v>
      </c>
      <c r="D53" s="11" t="s">
        <v>232</v>
      </c>
      <c r="E53" s="11" t="s">
        <v>125</v>
      </c>
    </row>
    <row r="54" spans="1:5" x14ac:dyDescent="0.35">
      <c r="A54" s="12">
        <f>DATE(2027,1,30)</f>
        <v>46417</v>
      </c>
      <c r="B54" s="13" t="str">
        <f t="shared" si="2"/>
        <v>Sat</v>
      </c>
      <c r="C54" s="11" t="s">
        <v>187</v>
      </c>
      <c r="D54" s="11" t="s">
        <v>233</v>
      </c>
      <c r="E54" s="11" t="s">
        <v>125</v>
      </c>
    </row>
    <row r="55" spans="1:5" x14ac:dyDescent="0.35">
      <c r="A55" s="12">
        <f>DATE(2027,2,18)</f>
        <v>46436</v>
      </c>
      <c r="B55" s="13" t="str">
        <f t="shared" si="2"/>
        <v>Thu</v>
      </c>
      <c r="C55" s="11" t="s">
        <v>188</v>
      </c>
      <c r="D55" s="11" t="s">
        <v>234</v>
      </c>
      <c r="E55" s="11" t="s">
        <v>131</v>
      </c>
    </row>
    <row r="56" spans="1:5" x14ac:dyDescent="0.35">
      <c r="A56" s="12">
        <f>DATE(2027,2,19)</f>
        <v>46437</v>
      </c>
      <c r="B56" s="13" t="str">
        <f t="shared" si="2"/>
        <v>Fri</v>
      </c>
      <c r="C56" s="11" t="s">
        <v>189</v>
      </c>
      <c r="D56" s="11" t="s">
        <v>235</v>
      </c>
      <c r="E56" s="11" t="s">
        <v>131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190</v>
      </c>
      <c r="D57" s="11" t="s">
        <v>236</v>
      </c>
      <c r="E57" s="11" t="s">
        <v>131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191</v>
      </c>
      <c r="D58" s="11" t="s">
        <v>237</v>
      </c>
      <c r="E58" s="11" t="s">
        <v>127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253</v>
      </c>
      <c r="D59" s="11" t="s">
        <v>238</v>
      </c>
      <c r="E59" s="11" t="s">
        <v>131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190</v>
      </c>
      <c r="D60" s="11" t="s">
        <v>236</v>
      </c>
      <c r="E60" s="11" t="s">
        <v>131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192</v>
      </c>
      <c r="D61" s="11" t="s">
        <v>239</v>
      </c>
      <c r="E61" s="11" t="s">
        <v>138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193</v>
      </c>
      <c r="D62" s="11" t="s">
        <v>240</v>
      </c>
      <c r="E62" s="11" t="s">
        <v>138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194</v>
      </c>
      <c r="D63" s="11" t="s">
        <v>241</v>
      </c>
      <c r="E63" s="11" t="s">
        <v>138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195</v>
      </c>
      <c r="D64" s="11" t="s">
        <v>242</v>
      </c>
      <c r="E64" s="11" t="s">
        <v>127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190</v>
      </c>
      <c r="D65" s="11" t="s">
        <v>236</v>
      </c>
      <c r="E65" s="11" t="s">
        <v>131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190</v>
      </c>
      <c r="D66" s="11" t="s">
        <v>236</v>
      </c>
      <c r="E66" s="11" t="s">
        <v>131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196</v>
      </c>
      <c r="D67" s="11" t="s">
        <v>243</v>
      </c>
      <c r="E67" s="11" t="s">
        <v>131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197</v>
      </c>
      <c r="D68" s="11" t="s">
        <v>244</v>
      </c>
      <c r="E68" s="11" t="s">
        <v>138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198</v>
      </c>
      <c r="D69" s="11" t="s">
        <v>245</v>
      </c>
      <c r="E69" s="11" t="s">
        <v>131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190</v>
      </c>
      <c r="D70" s="11" t="s">
        <v>236</v>
      </c>
      <c r="E70" s="11" t="s">
        <v>131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199</v>
      </c>
      <c r="D71" s="11" t="s">
        <v>246</v>
      </c>
      <c r="E71" s="11" t="s">
        <v>138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190</v>
      </c>
      <c r="D72" s="11" t="s">
        <v>236</v>
      </c>
      <c r="E72" s="11" t="s">
        <v>131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190</v>
      </c>
      <c r="D73" s="11" t="s">
        <v>236</v>
      </c>
      <c r="E73" s="11" t="s">
        <v>131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190</v>
      </c>
      <c r="D74" s="11" t="s">
        <v>236</v>
      </c>
      <c r="E74" s="11" t="s">
        <v>131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190</v>
      </c>
      <c r="D75" s="11" t="s">
        <v>236</v>
      </c>
      <c r="E75" s="11" t="s">
        <v>131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183</v>
      </c>
      <c r="D76" s="16" t="s">
        <v>231</v>
      </c>
      <c r="E76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200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201</v>
      </c>
      <c r="B2" s="16" t="s">
        <v>202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201</v>
      </c>
      <c r="B3" s="16" t="s">
        <v>202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201</v>
      </c>
      <c r="B4" s="16" t="s">
        <v>202</v>
      </c>
      <c r="C4" s="17">
        <v>3</v>
      </c>
      <c r="D4" s="16" t="s">
        <v>200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201</v>
      </c>
      <c r="B5" s="16" t="s">
        <v>202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201</v>
      </c>
      <c r="B6" s="16" t="s">
        <v>202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203</v>
      </c>
      <c r="B7" s="16" t="s">
        <v>204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203</v>
      </c>
      <c r="B8" s="16" t="s">
        <v>204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205</v>
      </c>
      <c r="B9" s="16" t="s">
        <v>206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205</v>
      </c>
      <c r="B10" s="16" t="s">
        <v>206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207</v>
      </c>
      <c r="B11" s="16" t="s">
        <v>208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207</v>
      </c>
      <c r="B12" s="16" t="s">
        <v>208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207</v>
      </c>
      <c r="B13" s="16" t="s">
        <v>208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207</v>
      </c>
      <c r="B14" s="16" t="s">
        <v>208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209</v>
      </c>
      <c r="B15" s="16" t="s">
        <v>210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209</v>
      </c>
      <c r="B16" s="16" t="s">
        <v>210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211</v>
      </c>
      <c r="B17" s="16" t="s">
        <v>212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211</v>
      </c>
      <c r="B18" s="16" t="s">
        <v>212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211</v>
      </c>
      <c r="B19" s="16" t="s">
        <v>212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213</v>
      </c>
      <c r="B20" s="16" t="s">
        <v>214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213</v>
      </c>
      <c r="B21" s="16" t="s">
        <v>214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213</v>
      </c>
      <c r="B22" s="16" t="s">
        <v>214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224</v>
      </c>
    </row>
    <row r="3" spans="1:2" x14ac:dyDescent="0.35">
      <c r="A3" s="4" t="s">
        <v>37</v>
      </c>
      <c r="B3" s="4" t="s">
        <v>215</v>
      </c>
    </row>
    <row r="4" spans="1:2" x14ac:dyDescent="0.35">
      <c r="A4" t="s">
        <v>217</v>
      </c>
      <c r="B4" t="s">
        <v>218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2026-07-31T01:38:28Z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