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0" documentId="11_A88C884250063A86F00218599B70D26268CCBE65" xr6:coauthVersionLast="47" xr6:coauthVersionMax="47" xr10:uidLastSave="{B1670BA5-174A-4707-903A-56FA26A882E0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</calcChain>
</file>

<file path=xl/sharedStrings.xml><?xml version="1.0" encoding="utf-8"?>
<sst xmlns="http://schemas.openxmlformats.org/spreadsheetml/2006/main" count="523" uniqueCount="277">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</sst>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5"/>
  <sheetViews>
    <sheetView tabSelected="1" workbookViewId="0">
      <pane ySplit="1" topLeftCell="A18" activePane="bottomLeft" state="frozen"/>
      <selection pane="bottomLeft" activeCell="C50" sqref="C50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8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246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272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272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272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272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247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247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248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248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244</v>
      </c>
      <c r="D27" s="11" t="s">
        <v>245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270</v>
      </c>
      <c r="D28" s="16" t="s">
        <v>269</v>
      </c>
      <c r="E28" s="11" t="s">
        <v>272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254</v>
      </c>
      <c r="D29" s="16" t="s">
        <v>239</v>
      </c>
      <c r="E29" s="11" t="s">
        <v>272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255</v>
      </c>
      <c r="D30" s="16" t="s">
        <v>240</v>
      </c>
      <c r="E30" s="11" t="s">
        <v>272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250</v>
      </c>
      <c r="D31" s="16" t="s">
        <v>249</v>
      </c>
      <c r="E31" s="11" t="s">
        <v>274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251</v>
      </c>
      <c r="D32" s="11" t="s">
        <v>237</v>
      </c>
      <c r="E32" s="11" t="s">
        <v>272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258</v>
      </c>
      <c r="D33" t="s">
        <v>259</v>
      </c>
      <c r="E33" s="11" t="s">
        <v>272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260</v>
      </c>
      <c r="D35" s="11" t="s">
        <v>261</v>
      </c>
      <c r="E35" s="11" t="s">
        <v>272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262</v>
      </c>
      <c r="D36" s="16" t="s">
        <v>263</v>
      </c>
      <c r="E36" s="11" t="s">
        <v>272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252</v>
      </c>
      <c r="D37" s="11" t="s">
        <v>238</v>
      </c>
      <c r="E37" s="11" t="s">
        <v>272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256</v>
      </c>
      <c r="D38" s="16" t="s">
        <v>241</v>
      </c>
      <c r="E38" s="11" t="s">
        <v>272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264</v>
      </c>
      <c r="D39" s="11" t="s">
        <v>265</v>
      </c>
      <c r="E39" s="11" t="s">
        <v>272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257</v>
      </c>
      <c r="D41" s="16" t="s">
        <v>242</v>
      </c>
      <c r="E41" s="11" t="s">
        <v>272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268</v>
      </c>
      <c r="D42" s="16" t="s">
        <v>267</v>
      </c>
      <c r="E42" s="11" t="s">
        <v>272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253</v>
      </c>
      <c r="D43" s="16" t="s">
        <v>266</v>
      </c>
      <c r="E43" s="11" t="s">
        <v>272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DATE(2026,10,10)</f>
        <v>46305</v>
      </c>
      <c r="B45" s="13" t="str">
        <f t="shared" si="0"/>
        <v>Sat</v>
      </c>
      <c r="C45" s="11" t="s">
        <v>139</v>
      </c>
      <c r="D45" s="11" t="s">
        <v>176</v>
      </c>
      <c r="E45" s="11" t="s">
        <v>136</v>
      </c>
    </row>
    <row r="46" spans="1:7" x14ac:dyDescent="0.35">
      <c r="A46" s="12">
        <f>DATE(2026,10,12)</f>
        <v>46307</v>
      </c>
      <c r="B46" s="13" t="str">
        <f t="shared" si="0"/>
        <v>Mon</v>
      </c>
      <c r="C46" s="11" t="s">
        <v>211</v>
      </c>
      <c r="D46" s="11" t="s">
        <v>217</v>
      </c>
      <c r="E46" s="11" t="s">
        <v>272</v>
      </c>
      <c r="G46" s="19"/>
    </row>
    <row r="47" spans="1:7" x14ac:dyDescent="0.35">
      <c r="A47" s="12">
        <f>DATE(2026,10,13)</f>
        <v>46308</v>
      </c>
      <c r="B47" s="13" t="str">
        <f t="shared" si="0"/>
        <v>Tue</v>
      </c>
      <c r="C47" s="11" t="s">
        <v>212</v>
      </c>
      <c r="D47" s="11" t="s">
        <v>218</v>
      </c>
      <c r="E47" s="11" t="s">
        <v>272</v>
      </c>
    </row>
    <row r="48" spans="1:7" x14ac:dyDescent="0.35">
      <c r="A48" s="12">
        <f>DATE(2026,10,14)</f>
        <v>46309</v>
      </c>
      <c r="B48" s="13" t="str">
        <f t="shared" si="0"/>
        <v>Wed</v>
      </c>
      <c r="C48" s="11" t="s">
        <v>213</v>
      </c>
      <c r="D48" s="11" t="s">
        <v>219</v>
      </c>
      <c r="E48" s="11" t="s">
        <v>272</v>
      </c>
    </row>
    <row r="49" spans="1:5" x14ac:dyDescent="0.35">
      <c r="A49" s="12">
        <f>DATE(2026,10,31)</f>
        <v>46326</v>
      </c>
      <c r="B49" s="13" t="str">
        <f t="shared" ref="B49:B75" si="2">TEXT($A49,"ddd")</f>
        <v>Sat</v>
      </c>
      <c r="C49" s="16" t="s">
        <v>208</v>
      </c>
      <c r="D49" s="11" t="s">
        <v>220</v>
      </c>
      <c r="E49" s="11" t="s">
        <v>136</v>
      </c>
    </row>
    <row r="50" spans="1:5" x14ac:dyDescent="0.35">
      <c r="A50" s="12">
        <f>DATE(2026,11,3)</f>
        <v>46329</v>
      </c>
      <c r="B50" s="13" t="str">
        <f t="shared" si="2"/>
        <v>Tue</v>
      </c>
      <c r="C50" s="16" t="s">
        <v>180</v>
      </c>
      <c r="D50" s="11" t="s">
        <v>221</v>
      </c>
      <c r="E50" s="11" t="s">
        <v>126</v>
      </c>
    </row>
    <row r="51" spans="1:5" x14ac:dyDescent="0.35">
      <c r="A51" s="12">
        <f>DATE(2026,11,10)</f>
        <v>46336</v>
      </c>
      <c r="B51" s="13" t="str">
        <f t="shared" si="2"/>
        <v>Tue</v>
      </c>
      <c r="C51" s="16" t="s">
        <v>179</v>
      </c>
      <c r="D51" s="11" t="s">
        <v>222</v>
      </c>
      <c r="E51" s="11" t="s">
        <v>129</v>
      </c>
    </row>
    <row r="52" spans="1:5" x14ac:dyDescent="0.35">
      <c r="A52" s="12">
        <f>DATE(2026,12,16)</f>
        <v>46372</v>
      </c>
      <c r="B52" s="13" t="str">
        <f t="shared" si="2"/>
        <v>Wed</v>
      </c>
      <c r="C52" s="16" t="s">
        <v>178</v>
      </c>
      <c r="D52" s="16" t="s">
        <v>223</v>
      </c>
      <c r="E52" s="11" t="s">
        <v>136</v>
      </c>
    </row>
    <row r="53" spans="1:5" x14ac:dyDescent="0.35">
      <c r="A53" s="12">
        <f>DATE(2027,1,1)</f>
        <v>46388</v>
      </c>
      <c r="B53" s="13" t="str">
        <f t="shared" si="2"/>
        <v>Fri</v>
      </c>
      <c r="C53" s="16" t="s">
        <v>271</v>
      </c>
      <c r="D53" s="11" t="s">
        <v>224</v>
      </c>
      <c r="E53" s="11" t="s">
        <v>136</v>
      </c>
    </row>
    <row r="54" spans="1:5" x14ac:dyDescent="0.35">
      <c r="A54" s="12">
        <f>DATE(2027,1,30)</f>
        <v>46417</v>
      </c>
      <c r="B54" s="13" t="str">
        <f t="shared" si="2"/>
        <v>Sat</v>
      </c>
      <c r="C54" s="11" t="s">
        <v>181</v>
      </c>
      <c r="D54" s="11" t="s">
        <v>225</v>
      </c>
      <c r="E54" s="11" t="s">
        <v>126</v>
      </c>
    </row>
    <row r="55" spans="1:5" x14ac:dyDescent="0.35">
      <c r="A55" s="12">
        <f>DATE(2027,2,18)</f>
        <v>46436</v>
      </c>
      <c r="B55" s="13" t="str">
        <f t="shared" si="2"/>
        <v>Thu</v>
      </c>
      <c r="C55" s="11" t="s">
        <v>275</v>
      </c>
      <c r="D55" s="11" t="s">
        <v>276</v>
      </c>
      <c r="E55" s="11" t="s">
        <v>273</v>
      </c>
    </row>
    <row r="56" spans="1:5" x14ac:dyDescent="0.35">
      <c r="A56" s="12">
        <f>DATE(2027,3,19)</f>
        <v>46465</v>
      </c>
      <c r="B56" s="13" t="str">
        <f t="shared" si="2"/>
        <v>Fri</v>
      </c>
      <c r="C56" s="11" t="s">
        <v>182</v>
      </c>
      <c r="D56" s="11" t="s">
        <v>226</v>
      </c>
      <c r="E56" s="11" t="s">
        <v>129</v>
      </c>
    </row>
    <row r="57" spans="1:5" x14ac:dyDescent="0.35">
      <c r="A57" s="12">
        <f>DATE(2027,3,25)</f>
        <v>46471</v>
      </c>
      <c r="B57" s="13" t="str">
        <f t="shared" si="2"/>
        <v>Thu</v>
      </c>
      <c r="C57" s="11" t="s">
        <v>183</v>
      </c>
      <c r="D57" s="11" t="s">
        <v>227</v>
      </c>
      <c r="E57" s="11" t="s">
        <v>126</v>
      </c>
    </row>
    <row r="58" spans="1:5" x14ac:dyDescent="0.35">
      <c r="A58" s="12">
        <f>DATE(2027,4,3)</f>
        <v>46480</v>
      </c>
      <c r="B58" s="13" t="str">
        <f t="shared" si="2"/>
        <v>Sat</v>
      </c>
      <c r="C58" s="16" t="s">
        <v>243</v>
      </c>
      <c r="D58" s="11" t="s">
        <v>228</v>
      </c>
      <c r="E58" s="11" t="s">
        <v>273</v>
      </c>
    </row>
    <row r="59" spans="1:5" x14ac:dyDescent="0.35">
      <c r="A59" s="12">
        <f>DATE(2027,4,9)</f>
        <v>46486</v>
      </c>
      <c r="B59" s="13" t="str">
        <f t="shared" si="2"/>
        <v>Fri</v>
      </c>
      <c r="C59" s="11" t="s">
        <v>182</v>
      </c>
      <c r="D59" s="11" t="s">
        <v>226</v>
      </c>
      <c r="E59" s="11" t="s">
        <v>129</v>
      </c>
    </row>
    <row r="60" spans="1:5" x14ac:dyDescent="0.35">
      <c r="A60" s="12">
        <f>DATE(2027,5,19)</f>
        <v>46526</v>
      </c>
      <c r="B60" s="13" t="str">
        <f t="shared" si="2"/>
        <v>Wed</v>
      </c>
      <c r="C60" s="11" t="s">
        <v>184</v>
      </c>
      <c r="D60" s="11" t="s">
        <v>229</v>
      </c>
      <c r="E60" s="11" t="s">
        <v>272</v>
      </c>
    </row>
    <row r="61" spans="1:5" x14ac:dyDescent="0.35">
      <c r="A61" s="12">
        <f>DATE(2027,5,20)</f>
        <v>46527</v>
      </c>
      <c r="B61" s="13" t="str">
        <f t="shared" si="2"/>
        <v>Thu</v>
      </c>
      <c r="C61" s="11" t="s">
        <v>185</v>
      </c>
      <c r="D61" s="11" t="s">
        <v>230</v>
      </c>
      <c r="E61" s="11" t="s">
        <v>272</v>
      </c>
    </row>
    <row r="62" spans="1:5" x14ac:dyDescent="0.35">
      <c r="A62" s="12">
        <f>DATE(2027,5,21)</f>
        <v>46528</v>
      </c>
      <c r="B62" s="13" t="str">
        <f t="shared" si="2"/>
        <v>Fri</v>
      </c>
      <c r="C62" s="11" t="s">
        <v>186</v>
      </c>
      <c r="D62" s="11" t="s">
        <v>231</v>
      </c>
      <c r="E62" s="11" t="s">
        <v>272</v>
      </c>
    </row>
    <row r="63" spans="1:5" x14ac:dyDescent="0.35">
      <c r="A63" s="12">
        <f>DATE(2027,5,28)</f>
        <v>46535</v>
      </c>
      <c r="B63" s="13" t="str">
        <f t="shared" si="2"/>
        <v>Fri</v>
      </c>
      <c r="C63" s="11" t="s">
        <v>187</v>
      </c>
      <c r="D63" s="11" t="s">
        <v>232</v>
      </c>
      <c r="E63" s="11" t="s">
        <v>126</v>
      </c>
    </row>
    <row r="64" spans="1:5" x14ac:dyDescent="0.35">
      <c r="A64" s="12">
        <f>DATE(2027,6,11)</f>
        <v>46549</v>
      </c>
      <c r="B64" s="13" t="str">
        <f t="shared" si="2"/>
        <v>Fri</v>
      </c>
      <c r="C64" s="11" t="s">
        <v>182</v>
      </c>
      <c r="D64" s="11" t="s">
        <v>226</v>
      </c>
      <c r="E64" s="11" t="s">
        <v>129</v>
      </c>
    </row>
    <row r="65" spans="1:5" x14ac:dyDescent="0.35">
      <c r="A65" s="12">
        <f>DATE(2027,7,9)</f>
        <v>46577</v>
      </c>
      <c r="B65" s="13" t="str">
        <f t="shared" si="2"/>
        <v>Fri</v>
      </c>
      <c r="C65" s="11" t="s">
        <v>182</v>
      </c>
      <c r="D65" s="11" t="s">
        <v>226</v>
      </c>
      <c r="E65" s="11" t="s">
        <v>129</v>
      </c>
    </row>
    <row r="66" spans="1:5" x14ac:dyDescent="0.35">
      <c r="A66" s="12">
        <f>DATE(2027,7,30)</f>
        <v>46598</v>
      </c>
      <c r="B66" s="13" t="str">
        <f t="shared" si="2"/>
        <v>Fri</v>
      </c>
      <c r="C66" s="11" t="s">
        <v>188</v>
      </c>
      <c r="D66" s="11" t="s">
        <v>233</v>
      </c>
      <c r="E66" s="11" t="s">
        <v>129</v>
      </c>
    </row>
    <row r="67" spans="1:5" x14ac:dyDescent="0.35">
      <c r="A67" s="12">
        <f>DATE(2027,8,16)</f>
        <v>46615</v>
      </c>
      <c r="B67" s="13" t="str">
        <f t="shared" si="2"/>
        <v>Mon</v>
      </c>
      <c r="C67" s="11" t="s">
        <v>189</v>
      </c>
      <c r="D67" s="11" t="s">
        <v>234</v>
      </c>
      <c r="E67" s="11" t="s">
        <v>272</v>
      </c>
    </row>
    <row r="68" spans="1:5" x14ac:dyDescent="0.35">
      <c r="A68" s="12">
        <f>DATE(2027,8,20)</f>
        <v>46619</v>
      </c>
      <c r="B68" s="13" t="str">
        <f t="shared" si="2"/>
        <v>Fri</v>
      </c>
      <c r="C68" s="11" t="s">
        <v>190</v>
      </c>
      <c r="D68" s="11" t="s">
        <v>235</v>
      </c>
      <c r="E68" s="11" t="s">
        <v>129</v>
      </c>
    </row>
    <row r="69" spans="1:5" x14ac:dyDescent="0.35">
      <c r="A69" s="12">
        <f>DATE(2027,9,10)</f>
        <v>46640</v>
      </c>
      <c r="B69" s="13" t="str">
        <f t="shared" si="2"/>
        <v>Fri</v>
      </c>
      <c r="C69" s="11" t="s">
        <v>182</v>
      </c>
      <c r="D69" s="11" t="s">
        <v>226</v>
      </c>
      <c r="E69" s="11" t="s">
        <v>129</v>
      </c>
    </row>
    <row r="70" spans="1:5" x14ac:dyDescent="0.35">
      <c r="A70" s="12">
        <f>DATE(2027,9,18)</f>
        <v>46648</v>
      </c>
      <c r="B70" s="13" t="str">
        <f t="shared" si="2"/>
        <v>Sat</v>
      </c>
      <c r="C70" s="11" t="s">
        <v>191</v>
      </c>
      <c r="D70" s="11" t="s">
        <v>236</v>
      </c>
      <c r="E70" s="11" t="s">
        <v>136</v>
      </c>
    </row>
    <row r="71" spans="1:5" x14ac:dyDescent="0.35">
      <c r="A71" s="12">
        <f>DATE(2027,10,1)</f>
        <v>46661</v>
      </c>
      <c r="B71" s="13" t="str">
        <f t="shared" si="2"/>
        <v>Fri</v>
      </c>
      <c r="C71" s="11" t="s">
        <v>182</v>
      </c>
      <c r="D71" s="11" t="s">
        <v>226</v>
      </c>
      <c r="E71" s="11" t="s">
        <v>129</v>
      </c>
    </row>
    <row r="72" spans="1:5" x14ac:dyDescent="0.35">
      <c r="A72" s="12">
        <f>DATE(2027,10,15)</f>
        <v>46675</v>
      </c>
      <c r="B72" s="13" t="str">
        <f t="shared" si="2"/>
        <v>Fri</v>
      </c>
      <c r="C72" s="11" t="s">
        <v>182</v>
      </c>
      <c r="D72" s="11" t="s">
        <v>226</v>
      </c>
      <c r="E72" s="11" t="s">
        <v>129</v>
      </c>
    </row>
    <row r="73" spans="1:5" x14ac:dyDescent="0.35">
      <c r="A73" s="12">
        <f>DATE(2027,11,12)</f>
        <v>46703</v>
      </c>
      <c r="B73" s="13" t="str">
        <f t="shared" si="2"/>
        <v>Fri</v>
      </c>
      <c r="C73" s="11" t="s">
        <v>182</v>
      </c>
      <c r="D73" s="11" t="s">
        <v>226</v>
      </c>
      <c r="E73" s="11" t="s">
        <v>129</v>
      </c>
    </row>
    <row r="74" spans="1:5" x14ac:dyDescent="0.35">
      <c r="A74" s="12">
        <f>DATE(2027,11,26)</f>
        <v>46717</v>
      </c>
      <c r="B74" s="13" t="str">
        <f t="shared" si="2"/>
        <v>Fri</v>
      </c>
      <c r="C74" s="11" t="s">
        <v>182</v>
      </c>
      <c r="D74" s="11" t="s">
        <v>226</v>
      </c>
      <c r="E74" s="11" t="s">
        <v>129</v>
      </c>
    </row>
    <row r="75" spans="1:5" x14ac:dyDescent="0.35">
      <c r="A75" s="12">
        <f>DATE(2027,12,16)</f>
        <v>46737</v>
      </c>
      <c r="B75" s="13" t="str">
        <f t="shared" si="2"/>
        <v>Thu</v>
      </c>
      <c r="C75" s="11" t="s">
        <v>178</v>
      </c>
      <c r="D75" s="16" t="s">
        <v>223</v>
      </c>
      <c r="E75" s="11" t="s">
        <v>136</v>
      </c>
    </row>
  </sheetData>
  <autoFilter ref="A1:E75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216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2026-08-03T08:39:47Z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