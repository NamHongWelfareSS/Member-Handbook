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37" documentId="11_A88C884250063A86F00218599B70D26268CCBE65" xr6:coauthVersionLast="47" xr6:coauthVersionMax="47" xr10:uidLastSave="{47D1F380-EDDE-471F-99DE-188A3DAE60E3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5" l="1"/>
  <c r="B49" i="5" s="1"/>
  <c r="A78" i="5"/>
  <c r="B78" i="5" s="1"/>
  <c r="A74" i="5"/>
  <c r="B74" i="5" s="1"/>
  <c r="A70" i="5"/>
  <c r="B70" i="5" s="1"/>
  <c r="A59" i="5"/>
  <c r="B59" i="5" s="1"/>
  <c r="A56" i="5"/>
  <c r="B56" i="5" s="1"/>
  <c r="A68" i="5"/>
  <c r="B68" i="5" s="1"/>
  <c r="A64" i="5"/>
  <c r="B64" i="5" s="1"/>
  <c r="A54" i="5"/>
  <c r="B54" i="5" s="1"/>
  <c r="A67" i="5"/>
  <c r="B67" i="5"/>
  <c r="A61" i="5"/>
  <c r="B61" i="5" s="1"/>
  <c r="A66" i="5"/>
  <c r="B66" i="5"/>
  <c r="A2" i="5"/>
  <c r="B2" i="5"/>
  <c r="A6" i="5"/>
  <c r="B6" i="5" s="1"/>
  <c r="A5" i="5"/>
  <c r="B5" i="5" s="1"/>
  <c r="A11" i="5"/>
  <c r="B11" i="5" s="1"/>
  <c r="A15" i="5"/>
  <c r="B15" i="5" s="1"/>
  <c r="A17" i="5"/>
  <c r="B17" i="5" s="1"/>
  <c r="A22" i="5"/>
  <c r="B22" i="5"/>
  <c r="A26" i="5"/>
  <c r="B26" i="5" s="1"/>
  <c r="A25" i="5"/>
  <c r="B25" i="5"/>
  <c r="A40" i="5"/>
  <c r="B40" i="5"/>
  <c r="A39" i="5"/>
  <c r="B39" i="5"/>
  <c r="A81" i="5"/>
  <c r="B81" i="5" s="1"/>
  <c r="A80" i="5"/>
  <c r="B80" i="5" s="1"/>
  <c r="A86" i="5"/>
  <c r="B86" i="5" s="1"/>
  <c r="A85" i="5"/>
  <c r="B85" i="5" s="1"/>
  <c r="A91" i="5"/>
  <c r="B91" i="5" s="1"/>
  <c r="A90" i="5"/>
  <c r="B90" i="5" s="1"/>
  <c r="A89" i="5"/>
  <c r="B89" i="5" s="1"/>
  <c r="A93" i="5"/>
  <c r="B93" i="5" s="1"/>
  <c r="A96" i="5"/>
  <c r="B96" i="5" s="1"/>
  <c r="A100" i="5"/>
  <c r="B100" i="5" s="1"/>
  <c r="A99" i="5"/>
  <c r="B99" i="5" s="1"/>
  <c r="A102" i="5"/>
  <c r="B102" i="5" s="1"/>
  <c r="A109" i="5"/>
  <c r="B109" i="5" s="1"/>
  <c r="A116" i="5"/>
  <c r="B116" i="5" s="1"/>
  <c r="A120" i="5"/>
  <c r="B120" i="5" s="1"/>
  <c r="A53" i="5"/>
  <c r="B53" i="5" s="1"/>
  <c r="A83" i="5"/>
  <c r="B83" i="5" s="1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62" i="5"/>
  <c r="B62" i="5" s="1"/>
  <c r="A63" i="5"/>
  <c r="B63" i="5" s="1"/>
  <c r="A46" i="5"/>
  <c r="B46" i="5" s="1"/>
  <c r="A72" i="5"/>
  <c r="B72" i="5" s="1"/>
  <c r="A65" i="5"/>
  <c r="B65" i="5" s="1"/>
  <c r="A71" i="5"/>
  <c r="B71" i="5" s="1"/>
  <c r="A37" i="5"/>
  <c r="B37" i="5"/>
  <c r="A58" i="5"/>
  <c r="B58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9" i="5"/>
  <c r="B69" i="5" s="1"/>
  <c r="A60" i="5"/>
  <c r="B60" i="5" s="1"/>
  <c r="A57" i="5"/>
  <c r="B57" i="5" s="1"/>
  <c r="A52" i="5"/>
  <c r="B52" i="5" s="1"/>
  <c r="A51" i="5"/>
  <c r="B51" i="5" s="1"/>
  <c r="A50" i="5"/>
  <c r="B50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 s="1"/>
  <c r="A10" i="5"/>
  <c r="B10" i="5" s="1"/>
  <c r="A12" i="5"/>
  <c r="B12" i="5" s="1"/>
  <c r="A13" i="5"/>
  <c r="B13" i="5" s="1"/>
  <c r="A14" i="5"/>
  <c r="B14" i="5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5" i="5"/>
  <c r="B55" i="5" s="1"/>
  <c r="A73" i="5"/>
  <c r="B73" i="5" s="1"/>
  <c r="A75" i="5"/>
  <c r="B75" i="5"/>
  <c r="A76" i="5"/>
  <c r="B76" i="5" s="1"/>
  <c r="A77" i="5"/>
  <c r="B77" i="5" s="1"/>
  <c r="A79" i="5"/>
  <c r="B79" i="5" s="1"/>
  <c r="A82" i="5"/>
  <c r="B82" i="5" s="1"/>
  <c r="A84" i="5"/>
  <c r="B84" i="5" s="1"/>
  <c r="A87" i="5"/>
  <c r="B87" i="5" s="1"/>
  <c r="A88" i="5"/>
  <c r="B88" i="5" s="1"/>
  <c r="A92" i="5"/>
  <c r="B92" i="5" s="1"/>
  <c r="A94" i="5"/>
  <c r="B94" i="5" s="1"/>
  <c r="A95" i="5"/>
  <c r="B95" i="5" s="1"/>
  <c r="A97" i="5"/>
  <c r="B97" i="5" s="1"/>
  <c r="A98" i="5"/>
  <c r="B98" i="5" s="1"/>
  <c r="A101" i="5"/>
  <c r="B101" i="5" s="1"/>
  <c r="A103" i="5"/>
  <c r="B103" i="5" s="1"/>
  <c r="A104" i="5"/>
  <c r="B104" i="5" s="1"/>
  <c r="A105" i="5"/>
  <c r="B105" i="5" s="1"/>
  <c r="A106" i="5"/>
  <c r="B106" i="5" s="1"/>
  <c r="A107" i="5"/>
  <c r="B107" i="5" s="1"/>
  <c r="A108" i="5"/>
  <c r="B108" i="5" s="1"/>
  <c r="A110" i="5"/>
  <c r="B110" i="5" s="1"/>
  <c r="A111" i="5"/>
  <c r="B111" i="5" s="1"/>
  <c r="A112" i="5"/>
  <c r="B112" i="5" s="1"/>
  <c r="A113" i="5"/>
  <c r="B113" i="5" s="1"/>
  <c r="A114" i="5"/>
  <c r="B114" i="5" s="1"/>
  <c r="A115" i="5"/>
  <c r="B115" i="5" s="1"/>
  <c r="A117" i="5"/>
  <c r="B117" i="5" s="1"/>
  <c r="A118" i="5"/>
  <c r="B118" i="5" s="1"/>
  <c r="A119" i="5"/>
  <c r="B119" i="5" s="1"/>
</calcChain>
</file>

<file path=xl/sharedStrings.xml><?xml version="1.0" encoding="utf-8"?>
<sst xmlns="http://schemas.openxmlformats.org/spreadsheetml/2006/main" count="986" uniqueCount="563">
  <si>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</si>
  <si>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</si>
  <si>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</si>
  <si>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</si>
  <si>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</si>
  <si>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</si>
  <si>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</si>
  <si>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</si>
  <si>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</si>
  <si>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</si>
  <si>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</si>
  <si>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</si>
  <si>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</si>
  <si>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</si>
  <si>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</si>
  <si>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</si>
  <si>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</si>
  <si>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</si>
  <si>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</si>
  <si>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</si>
  <si>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</si>
  <si>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</si>
  <si>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</si>
  <si>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</si>
  <si>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</si>
  <si>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</si>
  <si>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</si>
  <si>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</si>
  <si>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</si>
  <si>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</si>
  <si>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</si>
  <si>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</si>
  <si>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</si>
  <si>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</si>
  <si>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</si>
  <si>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</si>
  <si>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</si>
  <si>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</si>
  <si>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</si>
  <si>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</si>
  <si>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</si>
  <si>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</si>
  <si>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</si>
  <si>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</si>
  <si>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</si>
  <si>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</si>
  <si>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</si>
  <si>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</si>
  <si>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</si>
  <si>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</si>
  <si>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</si>
  <si>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</si>
  <si>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</si>
  <si>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</si>
  <si>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</si>
  <si>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</si>
  <si>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</si>
  <si>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</si>
  <si>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</si>
  <si>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</si>
  <si>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</si>
  <si>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</si>
  <si>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</si>
  <si>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</si>
  <si>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</si>
  <si>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</si>
  <si>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</si>
  <si>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</si>
  <si>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</si>
  <si>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</si>
  <si>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</si>
  <si>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</si>
  <si>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</si>
  <si>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</si>
  <si>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</si>
  <si>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</si>
  <si>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</si>
  <si>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</si>
  <si>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</si>
  <si>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</si>
  <si>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</si>
  <si>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</si>
  <si>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</si>
  <si>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</si>
  <si>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</si>
  <si>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</si>
  <si>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</si>
  <si>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</si>
  <si>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</si>
  <si>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</si>
  <si>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</si>
  <si>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</si>
  <si>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</si>
  <si>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</si>
  <si>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</si>
  <si>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</si>
  <si>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</si>
  <si>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</si>
  <si>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</si>
  <si>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</si>
  <si>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</si>
  <si>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</si>
  <si>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</si>
  <si>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</si>
  <si>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</si>
  <si>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</si>
  <si>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</si>
  <si>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</si>
  <si>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</si>
  <si>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</si>
  <si>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</si>
  <si>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</si>
  <si>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</si>
  <si>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</si>
  <si>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</si>
  <si>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</si>
  <si>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</si>
  <si>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</si>
  <si>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</si>
  <si>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</si>
  <si>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</si>
  <si>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</si>
  <si>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</si>
  <si>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</si>
  <si>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</si>
  <si>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</si>
  <si>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</si>
  <si>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</si>
  <si>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</si>
  <si>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</si>
  <si>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</si>
  <si>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</si>
  <si>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</si>
  <si>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</si>
  <si>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</si>
  <si>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</si>
  <si>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</si>
  <si>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</si>
  <si>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</si>
  <si>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</si>
  <si>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</si>
  <si>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</si>
  <si>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</si>
  <si>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</si>
  <si>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</si>
  <si>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</si>
  <si>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</si>
  <si>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</si>
  <si>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</si>
  <si>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</si>
  <si>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</si>
  <si>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</si>
  <si>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</si>
  <si>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</si>
  <si>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</si>
  <si>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</si>
  <si>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</si>
  <si>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</si>
  <si>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</si>
  <si>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</si>
  <si>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</si>
  <si>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</si>
  <si>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</si>
  <si>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</si>
  <si>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</si>
  <si>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</si>
  <si>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</si>
  <si>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</si>
  <si>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</si>
  <si>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</si>
  <si>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</si>
  <si>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</si>
  <si>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</si>
  <si>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</si>
  <si>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</si>
  <si>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</si>
  <si>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</si>
  <si>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</si>
  <si>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</si>
  <si>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</si>
  <si>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</si>
  <si>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</si>
  <si>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</si>
  <si>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</si>
  <si>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</si>
  <si>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</si>
  <si>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</si>
  <si>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</si>
  <si>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</si>
  <si>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</si>
  <si>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</si>
  <si>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</si>
  <si>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</si>
  <si>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</si>
  <si>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</si>
  <si>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</si>
  <si>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</si>
  <si>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</si>
  <si>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</si>
  <si>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</si>
  <si>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</si>
  <si>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</si>
  <si>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</si>
  <si>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</si>
  <si>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</si>
  <si>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</si>
  <si>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</si>
  <si>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</si>
  <si>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</si>
  <si>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</si>
  <si>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</si>
  <si>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</si>
  <si>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</si>
  <si>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</si>
  <si>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</si>
  <si>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</si>
  <si>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</si>
  <si>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</si>
  <si>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</si>
  <si>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</si>
  <si>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</si>
  <si>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</si>
  <si>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</si>
  <si>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</si>
  <si>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</si>
  <si>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</si>
  <si>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</si>
  <si>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</si>
  <si>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</si>
  <si>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</si>
  <si>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</si>
  <si>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</si>
  <si>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</si>
  <si>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</si>
  <si>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</si>
  <si>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</si>
  <si>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</si>
  <si>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</si>
  <si>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</si>
  <si>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</si>
  <si>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</si>
  <si>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</si>
  <si>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</si>
  <si>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</si>
  <si>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</si>
  <si>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</si>
  <si>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</si>
  <si>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</si>
  <si>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</si>
  <si>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</si>
  <si>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</si>
  <si>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</si>
  <si>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</si>
  <si>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</si>
  <si>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</si>
  <si>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</si>
  <si>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</si>
  <si>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</si>
  <si>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</si>
  <si>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</si>
  <si>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</si>
  <si>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</si>
  <si>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</si>
  <si>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</si>
  <si>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</si>
  <si>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</si>
  <si>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</si>
  <si>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</si>
  <si>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</si>
  <si>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</si>
  <si>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</si>
  <si>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</si>
  <si>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</si>
  <si>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</si>
  <si>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</si>
  <si>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</si>
  <si>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</si>
  <si>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</si>
  <si>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</si>
  <si>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</si>
  <si>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</si>
  <si>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</si>
  <si>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</si>
  <si>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</si>
  <si>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</si>
  <si>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</si>
  <si>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</si>
  <si>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</si>
  <si>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</si>
  <si>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</si>
  <si>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</si>
  <si>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</si>
  <si>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</si>
  <si>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</si>
  <si>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</si>
  <si>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</si>
  <si>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</si>
  <si>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</si>
  <si>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</si>
  <si>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</si>
  <si>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</si>
  <si>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</si>
  <si>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</si>
  <si>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</si>
  <si>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</si>
  <si>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</si>
  <si>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</si>
  <si>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</si>
  <si>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</si>
  <si>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</si>
  <si>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</si>
  <si>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</si>
  <si>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</si>
  <si>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</si>
  <si>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</si>
  <si>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</si>
  <si>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</si>
  <si>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</si>
  <si>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</si>
  <si>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</si>
  <si>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</si>
  <si>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</si>
  <si>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</si>
  <si>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</si>
  <si>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</si>
  <si>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</si>
  <si>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</si>
  <si>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</si>
  <si>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</si>
  <si>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</si>
  <si>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</si>
  <si>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</si>
  <si>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</si>
  <si>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</si>
  <si>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</si>
  <si>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</si>
  <si>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</si>
  <si>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</si>
  <si>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</si>
  <si>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</si>
  <si>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</si>
  <si>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</si>
  <si>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</si>
  <si>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</si>
  <si>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</si>
  <si>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</si>
  <si>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</si>
  <si>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</si>
  <si>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</si>
  <si>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</si>
  <si>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</si>
  <si>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</si>
  <si>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</si>
  <si>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</si>
  <si>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</si>
  <si>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</si>
  <si>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</si>
  <si>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</si>
  <si>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</si>
  <si>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</si>
  <si>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</si>
  <si>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</si>
  <si>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</si>
  <si>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</si>
  <si>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</si>
  <si>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</si>
  <si>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</si>
  <si>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</si>
  <si>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</si>
  <si>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</si>
  <si>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</si>
  <si>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</si>
  <si>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</si>
  <si>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</si>
  <si>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</si>
  <si>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</si>
  <si>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</si>
  <si>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</si>
  <si>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</si>
  <si>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</si>
  <si>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</si>
  <si>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</si>
  <si>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</si>
  <si>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</si>
  <si>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</si>
  <si>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</si>
  <si>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</si>
  <si>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</si>
  <si>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</si>
  <si>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</si>
  <si>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</si>
  <si>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</si>
  <si>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</si>
  <si>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</si>
  <si>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</si>
  <si>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</si>
  <si>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</si>
  <si>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</si>
  <si>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</si>
  <si>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</si>
  <si>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</si>
  <si>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</si>
  <si>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</si>
  <si>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</si>
  <si>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</si>
  <si>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</si>
  <si>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</si>
  <si>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</si>
  <si>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</si>
  <si>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</si>
  <si>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</si>
  <si>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</si>
  <si>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</si>
  <si>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</si>
  <si>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</si>
  <si>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</si>
  <si>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</si>
  <si>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</si>
  <si>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</si>
  <si>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</si>
  <si>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</si>
  <si>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</si>
  <si>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</si>
  <si>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</si>
  <si>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</si>
  <si>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</si>
  <si>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</si>
  <si>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</si>
  <si>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</si>
  <si>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</si>
  <si>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</si>
  <si>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</si>
  <si>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</si>
  <si>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</si>
  <si>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</si>
  <si>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</si>
  <si>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</si>
  <si>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</si>
  <si>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</si>
  <si>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</si>
  <si>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</si>
  <si>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</si>
  <si>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</si>
  <si>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</si>
  <si>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</si>
  <si>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</si>
  <si>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</si>
  <si>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</si>
  <si>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</si>
  <si>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</si>
  <si>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</si>
  <si>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</si>
  <si>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</si>
  <si>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</si>
  <si>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</si>
  <si>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</si>
  <si>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</si>
  <si>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</si>
  <si>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</si>
  <si>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</si>
  <si>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</si>
  <si>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</si>
  <si>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</si>
  <si>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</si>
  <si>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</si>
  <si>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</si>
  <si>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</si>
  <si>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</si>
  <si>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</si>
  <si>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</si>
  <si>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</si>
  <si>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</si>
  <si>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</si>
  <si>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</si>
  <si>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</si>
  <si>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</si>
  <si>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</si>
  <si>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</si>
  <si>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</si>
  <si>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</si>
  <si>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</si>
  <si>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</si>
  <si>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</si>
  <si>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</si>
  <si>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</si>
  <si>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</si>
  <si>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</si>
  <si>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</si>
  <si>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</si>
  <si>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</si>
  <si>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</si>
  <si>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</si>
  <si>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</si>
  <si>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</si>
  <si>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</si>
  <si>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</si>
  <si>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</si>
  <si>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</si>
  <si>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</si>
  <si>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</si>
  <si>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</si>
  <si>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</si>
  <si>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</si>
  <si>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</si>
  <si>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</si>
  <si>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</si>
  <si>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</si>
  <si>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</si>
  <si>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</si>
  <si>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</si>
  <si>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</si>
  <si>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</si>
  <si>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</si>
  <si>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</si>
  <si>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</si>
  <si>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</si>
  <si>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</si>
  <si>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</si>
  <si>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</si>
  <si>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</si>
  <si>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</si>
  <si>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</si>
  <si>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</si>
  <si>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</si>
  <si>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</si>
  <si>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</si>
  <si>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</si>
  <si>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</si>
  <si>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</si>
  <si>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</si>
  <si>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</si>
  <si>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</si>
  <si>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</si>
  <si>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</si>
  <si>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</si>
  <si>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</si>
  <si>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</si>
  <si>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</si>
  <si>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</si>
  <si>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</si>
  <si>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</si>
  <si>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</si>
  <si>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</si>
  <si>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</si>
  <si>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</si>
  <si>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</si>
  <si>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</si>
  <si>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</si>
  <si>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MWS Family Service Centre Family Wellness Day (Exhibition Booth), 10am-2pm. (In charge: Bryan, representative: Physician Leong 梁芷维, Physician Eh 余淑婷)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</si>
  <si>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</si>
  <si>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</si>
  <si>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</si>
  <si>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</si>
  <si>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</si>
  <si>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</si>
  <si>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Charities Lean Forward - Protecting Personal Data: Personal Data Protection Act (PDPA) Essentials for Charities, PBSG Academy. 3-5pm, online training (Representative: Jin Hoa)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</si>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</sst>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0"/>
  <sheetViews>
    <sheetView tabSelected="1" workbookViewId="0">
      <pane ySplit="1" topLeftCell="A42" activePane="bottomLeft" state="frozen"/>
      <selection activeCell="C1" sqref="C1"/>
      <selection pane="bottomLeft" activeCell="C50" sqref="C50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497</v>
      </c>
      <c r="D2" s="30" t="s">
        <v>498</v>
      </c>
      <c r="E2" s="34" t="s">
        <v>475</v>
      </c>
      <c r="F2" s="27" t="s">
        <v>505</v>
      </c>
    </row>
    <row r="3" spans="1:6" x14ac:dyDescent="0.35">
      <c r="A3" s="31">
        <f>DATE(2026,1,1)</f>
        <v>46023</v>
      </c>
      <c r="B3" s="32" t="str">
        <f t="shared" ref="B3:B78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491</v>
      </c>
      <c r="D5" s="37" t="s">
        <v>492</v>
      </c>
      <c r="E5" s="39" t="s">
        <v>475</v>
      </c>
      <c r="F5" s="25" t="s">
        <v>506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493</v>
      </c>
      <c r="D6" s="11" t="s">
        <v>494</v>
      </c>
      <c r="E6" s="38" t="s">
        <v>475</v>
      </c>
      <c r="F6" s="25" t="s">
        <v>506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489</v>
      </c>
      <c r="D11" s="11" t="s">
        <v>490</v>
      </c>
      <c r="E11" s="38" t="s">
        <v>486</v>
      </c>
      <c r="F11" s="25" t="s">
        <v>507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487</v>
      </c>
      <c r="D15" s="11" t="s">
        <v>488</v>
      </c>
      <c r="E15" s="38" t="s">
        <v>475</v>
      </c>
      <c r="F15" s="25" t="s">
        <v>508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482</v>
      </c>
      <c r="D17" s="11" t="s">
        <v>483</v>
      </c>
      <c r="E17" s="38" t="s">
        <v>475</v>
      </c>
      <c r="F17" s="25" t="s">
        <v>509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519</v>
      </c>
      <c r="D22" s="11" t="s">
        <v>520</v>
      </c>
      <c r="E22" s="38" t="s">
        <v>486</v>
      </c>
      <c r="F22" s="25" t="s">
        <v>510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480</v>
      </c>
      <c r="D25" s="37" t="s">
        <v>481</v>
      </c>
      <c r="E25" s="39" t="s">
        <v>475</v>
      </c>
      <c r="F25" s="25" t="s">
        <v>511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503</v>
      </c>
      <c r="D26" s="11" t="s">
        <v>504</v>
      </c>
      <c r="E26" s="38" t="s">
        <v>475</v>
      </c>
      <c r="F26" s="25" t="s">
        <v>512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2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478</v>
      </c>
      <c r="D39" s="37" t="s">
        <v>479</v>
      </c>
      <c r="E39" s="39" t="s">
        <v>475</v>
      </c>
      <c r="F39" s="25" t="s">
        <v>513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501</v>
      </c>
      <c r="D40" s="11" t="s">
        <v>502</v>
      </c>
      <c r="E40" s="38" t="s">
        <v>475</v>
      </c>
      <c r="F40" s="25" t="s">
        <v>514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529</v>
      </c>
      <c r="D41" s="43" t="s">
        <v>530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453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455</v>
      </c>
      <c r="D43" s="16" t="s">
        <v>457</v>
      </c>
      <c r="E43" s="11" t="s">
        <v>129</v>
      </c>
      <c r="F43" s="25" t="s">
        <v>456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521</v>
      </c>
      <c r="D44" s="11" t="s">
        <v>522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465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466</v>
      </c>
      <c r="D46" s="11" t="s">
        <v>454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461</v>
      </c>
      <c r="D47" s="11" t="s">
        <v>462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562</v>
      </c>
      <c r="D49" s="21"/>
      <c r="E49" s="11" t="s">
        <v>242</v>
      </c>
      <c r="F49" s="25" t="s">
        <v>561</v>
      </c>
    </row>
    <row r="50" spans="1:7" x14ac:dyDescent="0.35">
      <c r="A50" s="12">
        <f>DATE(2026,9,1)</f>
        <v>46266</v>
      </c>
      <c r="B50" s="13" t="str">
        <f t="shared" si="1"/>
        <v>Tue</v>
      </c>
      <c r="C50" s="11" t="s">
        <v>531</v>
      </c>
      <c r="D50" s="16" t="s">
        <v>532</v>
      </c>
      <c r="E50" s="11" t="s">
        <v>233</v>
      </c>
      <c r="F50" s="25" t="s">
        <v>434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239</v>
      </c>
      <c r="D51" s="11" t="s">
        <v>220</v>
      </c>
      <c r="E51" s="11" t="s">
        <v>233</v>
      </c>
      <c r="F51" s="25" t="s">
        <v>435</v>
      </c>
    </row>
    <row r="52" spans="1:7" x14ac:dyDescent="0.35">
      <c r="A52" s="12">
        <f>DATE(2026,9,3)</f>
        <v>46268</v>
      </c>
      <c r="B52" s="13" t="str">
        <f t="shared" si="1"/>
        <v>Thu</v>
      </c>
      <c r="C52" s="11" t="s">
        <v>533</v>
      </c>
      <c r="D52" s="16" t="s">
        <v>534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472</v>
      </c>
      <c r="D53" s="11" t="s">
        <v>471</v>
      </c>
      <c r="E53" s="11" t="s">
        <v>233</v>
      </c>
      <c r="F53" s="25" t="s">
        <v>436</v>
      </c>
    </row>
    <row r="54" spans="1:7" x14ac:dyDescent="0.35">
      <c r="A54" s="12">
        <f>DATE(2026,9,4)</f>
        <v>46269</v>
      </c>
      <c r="B54" s="13" t="str">
        <f>TEXT($A54,"ddd")</f>
        <v>Fri</v>
      </c>
      <c r="C54" s="11" t="s">
        <v>536</v>
      </c>
      <c r="D54" s="11"/>
      <c r="E54" s="11" t="s">
        <v>242</v>
      </c>
      <c r="F54" s="25" t="s">
        <v>535</v>
      </c>
    </row>
    <row r="55" spans="1:7" x14ac:dyDescent="0.35">
      <c r="A55" s="12">
        <f>DATE(2026,9,5)</f>
        <v>46270</v>
      </c>
      <c r="B55" s="13" t="str">
        <f t="shared" si="0"/>
        <v>Sat</v>
      </c>
      <c r="C55" s="11" t="s">
        <v>548</v>
      </c>
      <c r="D55" s="11" t="s">
        <v>163</v>
      </c>
      <c r="E55" s="11" t="s">
        <v>124</v>
      </c>
      <c r="F55" s="25" t="s">
        <v>437</v>
      </c>
      <c r="G55" s="19"/>
    </row>
    <row r="56" spans="1:7" x14ac:dyDescent="0.35">
      <c r="A56" s="12">
        <f>DATE(2026,9,5)</f>
        <v>46270</v>
      </c>
      <c r="B56" s="13" t="str">
        <f t="shared" si="0"/>
        <v>Sat</v>
      </c>
      <c r="C56" s="11" t="s">
        <v>547</v>
      </c>
      <c r="D56" s="11"/>
      <c r="E56" s="11" t="s">
        <v>242</v>
      </c>
      <c r="F56" s="25" t="s">
        <v>546</v>
      </c>
      <c r="G56" s="19"/>
    </row>
    <row r="57" spans="1:7" x14ac:dyDescent="0.35">
      <c r="A57" s="12">
        <f>DATE(2026,9,7)</f>
        <v>46272</v>
      </c>
      <c r="B57" s="13" t="str">
        <f>TEXT($A57,"ddd")</f>
        <v>Mon</v>
      </c>
      <c r="C57" s="11" t="s">
        <v>240</v>
      </c>
      <c r="D57" s="16" t="s">
        <v>222</v>
      </c>
      <c r="E57" s="11" t="s">
        <v>233</v>
      </c>
      <c r="F57" s="25" t="s">
        <v>438</v>
      </c>
    </row>
    <row r="58" spans="1:7" x14ac:dyDescent="0.35">
      <c r="A58" s="12">
        <f>DATE(2026,9,8)</f>
        <v>46273</v>
      </c>
      <c r="B58" s="13" t="str">
        <f>TEXT($A58,"ddd")</f>
        <v>Tue</v>
      </c>
      <c r="C58" s="11" t="s">
        <v>470</v>
      </c>
      <c r="D58" s="16" t="s">
        <v>229</v>
      </c>
      <c r="E58" s="11" t="s">
        <v>233</v>
      </c>
      <c r="F58" s="25" t="s">
        <v>538</v>
      </c>
    </row>
    <row r="59" spans="1:7" x14ac:dyDescent="0.35">
      <c r="A59" s="12">
        <f>DATE(2026,9,8)</f>
        <v>46273</v>
      </c>
      <c r="B59" s="13" t="str">
        <f>TEXT($A59,"ddd")</f>
        <v>Tue</v>
      </c>
      <c r="C59" s="11" t="s">
        <v>549</v>
      </c>
      <c r="D59" s="16"/>
      <c r="E59" s="11" t="s">
        <v>242</v>
      </c>
      <c r="F59" s="25" t="s">
        <v>550</v>
      </c>
    </row>
    <row r="60" spans="1:7" x14ac:dyDescent="0.35">
      <c r="A60" s="12">
        <f>DATE(2026,9,9)</f>
        <v>46274</v>
      </c>
      <c r="B60" s="13" t="str">
        <f>TEXT($A60,"ddd")</f>
        <v>Wed</v>
      </c>
      <c r="C60" s="16" t="s">
        <v>463</v>
      </c>
      <c r="D60" s="16" t="s">
        <v>464</v>
      </c>
      <c r="E60" s="11" t="s">
        <v>233</v>
      </c>
      <c r="F60" s="25" t="s">
        <v>439</v>
      </c>
    </row>
    <row r="61" spans="1:7" x14ac:dyDescent="0.35">
      <c r="A61" s="12">
        <f>DATE(2026,9,9)</f>
        <v>46274</v>
      </c>
      <c r="B61" s="13" t="str">
        <f>TEXT($A61,"ddd")</f>
        <v>Wed</v>
      </c>
      <c r="C61" s="16" t="s">
        <v>560</v>
      </c>
      <c r="D61" s="16"/>
      <c r="E61" s="11" t="s">
        <v>129</v>
      </c>
      <c r="F61" s="25" t="s">
        <v>525</v>
      </c>
    </row>
    <row r="62" spans="1:7" x14ac:dyDescent="0.35">
      <c r="A62" s="12">
        <f>DATE(2026,9,15)</f>
        <v>46280</v>
      </c>
      <c r="B62" s="13" t="str">
        <f t="shared" si="0"/>
        <v>Tue</v>
      </c>
      <c r="C62" s="11" t="s">
        <v>252</v>
      </c>
      <c r="D62" s="16"/>
      <c r="E62" s="11" t="s">
        <v>242</v>
      </c>
      <c r="F62" s="25" t="s">
        <v>440</v>
      </c>
    </row>
    <row r="63" spans="1:7" x14ac:dyDescent="0.35">
      <c r="A63" s="12">
        <f>DATE(2026,9,16)</f>
        <v>46281</v>
      </c>
      <c r="B63" s="13" t="str">
        <f t="shared" si="0"/>
        <v>Wed</v>
      </c>
      <c r="C63" s="11" t="s">
        <v>250</v>
      </c>
      <c r="D63" s="16" t="s">
        <v>251</v>
      </c>
      <c r="E63" s="11" t="s">
        <v>121</v>
      </c>
      <c r="F63" s="25" t="s">
        <v>416</v>
      </c>
    </row>
    <row r="64" spans="1:7" x14ac:dyDescent="0.35">
      <c r="A64" s="12">
        <f>DATE(2026,9,17)</f>
        <v>46282</v>
      </c>
      <c r="B64" s="13" t="str">
        <f t="shared" si="0"/>
        <v>Thu</v>
      </c>
      <c r="C64" s="11" t="s">
        <v>551</v>
      </c>
      <c r="D64" s="11"/>
      <c r="E64" s="11" t="s">
        <v>131</v>
      </c>
      <c r="F64" s="25" t="s">
        <v>537</v>
      </c>
    </row>
    <row r="65" spans="1:6" x14ac:dyDescent="0.35">
      <c r="A65" s="12">
        <f>DATE(2026,9,18)</f>
        <v>46283</v>
      </c>
      <c r="B65" s="13" t="str">
        <f t="shared" si="0"/>
        <v>Fri</v>
      </c>
      <c r="C65" s="11" t="s">
        <v>241</v>
      </c>
      <c r="D65" s="11"/>
      <c r="E65" s="11" t="s">
        <v>242</v>
      </c>
      <c r="F65" s="25" t="s">
        <v>441</v>
      </c>
    </row>
    <row r="66" spans="1:6" x14ac:dyDescent="0.35">
      <c r="A66" s="12">
        <f>DATE(2026,9,18)</f>
        <v>46283</v>
      </c>
      <c r="B66" s="13" t="str">
        <f t="shared" si="0"/>
        <v>Fri</v>
      </c>
      <c r="C66" s="11" t="s">
        <v>523</v>
      </c>
      <c r="D66" s="11"/>
      <c r="E66" s="11" t="s">
        <v>131</v>
      </c>
      <c r="F66" s="25" t="s">
        <v>524</v>
      </c>
    </row>
    <row r="67" spans="1:6" x14ac:dyDescent="0.35">
      <c r="A67" s="12">
        <f>DATE(2026,9,19)</f>
        <v>46284</v>
      </c>
      <c r="B67" s="13" t="str">
        <f t="shared" si="0"/>
        <v>Sat</v>
      </c>
      <c r="C67" s="11" t="s">
        <v>526</v>
      </c>
      <c r="D67" s="11" t="s">
        <v>528</v>
      </c>
      <c r="E67" s="11" t="s">
        <v>121</v>
      </c>
      <c r="F67" s="25" t="s">
        <v>527</v>
      </c>
    </row>
    <row r="68" spans="1:6" x14ac:dyDescent="0.35">
      <c r="A68" s="12">
        <f>DATE(2026,9,19)</f>
        <v>46284</v>
      </c>
      <c r="B68" s="13" t="str">
        <f t="shared" si="0"/>
        <v>Sat</v>
      </c>
      <c r="C68" s="11" t="s">
        <v>540</v>
      </c>
      <c r="D68" s="11" t="s">
        <v>539</v>
      </c>
      <c r="E68" s="11" t="s">
        <v>129</v>
      </c>
      <c r="F68" s="25" t="s">
        <v>541</v>
      </c>
    </row>
    <row r="69" spans="1:6" x14ac:dyDescent="0.35">
      <c r="A69" s="12">
        <f>DATE(2026,9,20)</f>
        <v>46285</v>
      </c>
      <c r="B69" s="13" t="str">
        <f t="shared" si="0"/>
        <v>Sun</v>
      </c>
      <c r="C69" s="11" t="s">
        <v>552</v>
      </c>
      <c r="D69" s="11" t="s">
        <v>164</v>
      </c>
      <c r="E69" s="11" t="s">
        <v>124</v>
      </c>
      <c r="F69" s="25" t="s">
        <v>553</v>
      </c>
    </row>
    <row r="70" spans="1:6" x14ac:dyDescent="0.35">
      <c r="A70" s="12">
        <f>DATE(2026,9,23)</f>
        <v>46288</v>
      </c>
      <c r="B70" s="13" t="str">
        <f t="shared" si="0"/>
        <v>Wed</v>
      </c>
      <c r="C70" s="11" t="s">
        <v>555</v>
      </c>
      <c r="D70" s="11"/>
      <c r="E70" s="11" t="s">
        <v>242</v>
      </c>
      <c r="F70" s="25" t="s">
        <v>554</v>
      </c>
    </row>
    <row r="71" spans="1:6" x14ac:dyDescent="0.35">
      <c r="A71" s="12">
        <f>DATE(2026,10,9)</f>
        <v>46304</v>
      </c>
      <c r="B71" s="13" t="str">
        <f t="shared" si="0"/>
        <v>Fri</v>
      </c>
      <c r="C71" s="11" t="s">
        <v>542</v>
      </c>
      <c r="D71" s="11" t="s">
        <v>543</v>
      </c>
      <c r="E71" s="11" t="s">
        <v>124</v>
      </c>
      <c r="F71" s="25" t="s">
        <v>442</v>
      </c>
    </row>
    <row r="72" spans="1:6" ht="51" x14ac:dyDescent="0.35">
      <c r="A72" s="12">
        <f>DATE(2026,10,9)</f>
        <v>46304</v>
      </c>
      <c r="B72" s="13" t="str">
        <f t="shared" si="0"/>
        <v>Fri</v>
      </c>
      <c r="C72" s="20" t="s">
        <v>244</v>
      </c>
      <c r="D72" s="11" t="s">
        <v>243</v>
      </c>
      <c r="E72" s="11" t="s">
        <v>242</v>
      </c>
      <c r="F72" s="25" t="s">
        <v>443</v>
      </c>
    </row>
    <row r="73" spans="1:6" x14ac:dyDescent="0.35">
      <c r="A73" s="12">
        <f>DATE(2026,10,10)</f>
        <v>46305</v>
      </c>
      <c r="B73" s="13" t="str">
        <f t="shared" si="0"/>
        <v>Sat</v>
      </c>
      <c r="C73" s="11" t="s">
        <v>467</v>
      </c>
      <c r="D73" s="11" t="s">
        <v>256</v>
      </c>
      <c r="E73" s="11" t="s">
        <v>131</v>
      </c>
      <c r="F73" s="25" t="s">
        <v>444</v>
      </c>
    </row>
    <row r="74" spans="1:6" x14ac:dyDescent="0.35">
      <c r="A74" s="12">
        <f>DATE(2026,10,12)</f>
        <v>46307</v>
      </c>
      <c r="B74" s="13" t="str">
        <f t="shared" si="0"/>
        <v>Mon</v>
      </c>
      <c r="C74" s="11" t="s">
        <v>557</v>
      </c>
      <c r="D74" s="11"/>
      <c r="E74" s="11" t="s">
        <v>129</v>
      </c>
      <c r="F74" s="25" t="s">
        <v>556</v>
      </c>
    </row>
    <row r="75" spans="1:6" x14ac:dyDescent="0.35">
      <c r="A75" s="12">
        <f>DATE(2026,10,12)</f>
        <v>46307</v>
      </c>
      <c r="B75" s="13" t="str">
        <f t="shared" si="0"/>
        <v>Mon</v>
      </c>
      <c r="C75" s="11" t="s">
        <v>196</v>
      </c>
      <c r="D75" s="11" t="s">
        <v>201</v>
      </c>
      <c r="E75" s="11" t="s">
        <v>233</v>
      </c>
      <c r="F75" s="25" t="s">
        <v>445</v>
      </c>
    </row>
    <row r="76" spans="1:6" x14ac:dyDescent="0.35">
      <c r="A76" s="12">
        <f>DATE(2026,10,13)</f>
        <v>46308</v>
      </c>
      <c r="B76" s="13" t="str">
        <f t="shared" si="0"/>
        <v>Tue</v>
      </c>
      <c r="C76" s="11" t="s">
        <v>197</v>
      </c>
      <c r="D76" s="11" t="s">
        <v>202</v>
      </c>
      <c r="E76" s="11" t="s">
        <v>233</v>
      </c>
      <c r="F76" s="25" t="s">
        <v>445</v>
      </c>
    </row>
    <row r="77" spans="1:6" x14ac:dyDescent="0.35">
      <c r="A77" s="12">
        <f>DATE(2026,10,14)</f>
        <v>46309</v>
      </c>
      <c r="B77" s="13" t="str">
        <f t="shared" si="0"/>
        <v>Wed</v>
      </c>
      <c r="C77" s="11" t="s">
        <v>198</v>
      </c>
      <c r="D77" s="11" t="s">
        <v>203</v>
      </c>
      <c r="E77" s="11" t="s">
        <v>233</v>
      </c>
      <c r="F77" s="25" t="s">
        <v>445</v>
      </c>
    </row>
    <row r="78" spans="1:6" x14ac:dyDescent="0.35">
      <c r="A78" s="12">
        <f>DATE(2026,10,15)</f>
        <v>46310</v>
      </c>
      <c r="B78" s="13" t="str">
        <f t="shared" si="0"/>
        <v>Thu</v>
      </c>
      <c r="C78" s="37" t="s">
        <v>558</v>
      </c>
      <c r="D78" s="37"/>
      <c r="E78" s="37" t="s">
        <v>242</v>
      </c>
      <c r="F78" s="25" t="s">
        <v>559</v>
      </c>
    </row>
    <row r="79" spans="1:6" x14ac:dyDescent="0.35">
      <c r="A79" s="35">
        <f>DATE(2026,11,3)</f>
        <v>46329</v>
      </c>
      <c r="B79" s="36" t="str">
        <f t="shared" ref="B79:B119" si="2">TEXT($A79,"ddd")</f>
        <v>Tue</v>
      </c>
      <c r="C79" s="40" t="s">
        <v>167</v>
      </c>
      <c r="D79" s="37" t="s">
        <v>204</v>
      </c>
      <c r="E79" s="37" t="s">
        <v>121</v>
      </c>
      <c r="F79" s="25" t="s">
        <v>447</v>
      </c>
    </row>
    <row r="80" spans="1:6" x14ac:dyDescent="0.35">
      <c r="A80" s="35">
        <f>DATE(2026,11,8)</f>
        <v>46334</v>
      </c>
      <c r="B80" s="36" t="str">
        <f>TEXT($A80,"ddd")</f>
        <v>Sun</v>
      </c>
      <c r="C80" s="37" t="s">
        <v>476</v>
      </c>
      <c r="D80" s="37" t="s">
        <v>477</v>
      </c>
      <c r="E80" s="39" t="s">
        <v>475</v>
      </c>
      <c r="F80" s="25" t="s">
        <v>515</v>
      </c>
    </row>
    <row r="81" spans="1:6" x14ac:dyDescent="0.35">
      <c r="A81" s="12">
        <f>DATE(2026,11,9)</f>
        <v>46335</v>
      </c>
      <c r="B81" s="13" t="str">
        <f>TEXT($A81,"ddd")</f>
        <v>Mon</v>
      </c>
      <c r="C81" s="11" t="s">
        <v>499</v>
      </c>
      <c r="D81" s="11" t="s">
        <v>500</v>
      </c>
      <c r="E81" s="38" t="s">
        <v>475</v>
      </c>
      <c r="F81" s="25" t="s">
        <v>516</v>
      </c>
    </row>
    <row r="82" spans="1:6" x14ac:dyDescent="0.35">
      <c r="A82" s="31">
        <f>DATE(2026,11,10)</f>
        <v>46336</v>
      </c>
      <c r="B82" s="32" t="str">
        <f t="shared" si="2"/>
        <v>Tue</v>
      </c>
      <c r="C82" s="43" t="s">
        <v>469</v>
      </c>
      <c r="D82" s="33" t="s">
        <v>205</v>
      </c>
      <c r="E82" s="33" t="s">
        <v>124</v>
      </c>
      <c r="F82" s="25" t="s">
        <v>448</v>
      </c>
    </row>
    <row r="83" spans="1:6" x14ac:dyDescent="0.35">
      <c r="A83" s="12">
        <f>DATE(2026,11,24)</f>
        <v>46350</v>
      </c>
      <c r="B83" s="13" t="str">
        <f t="shared" si="2"/>
        <v>Tue</v>
      </c>
      <c r="C83" s="16" t="s">
        <v>544</v>
      </c>
      <c r="D83" s="11" t="s">
        <v>545</v>
      </c>
      <c r="E83" s="11" t="s">
        <v>124</v>
      </c>
      <c r="F83" s="25" t="s">
        <v>446</v>
      </c>
    </row>
    <row r="84" spans="1:6" x14ac:dyDescent="0.35">
      <c r="A84" s="35">
        <f>DATE(2026,12,16)</f>
        <v>46372</v>
      </c>
      <c r="B84" s="36" t="str">
        <f t="shared" si="2"/>
        <v>Wed</v>
      </c>
      <c r="C84" s="40" t="s">
        <v>468</v>
      </c>
      <c r="D84" s="40" t="s">
        <v>206</v>
      </c>
      <c r="E84" s="37" t="s">
        <v>131</v>
      </c>
      <c r="F84" s="25" t="s">
        <v>449</v>
      </c>
    </row>
    <row r="85" spans="1:6" x14ac:dyDescent="0.35">
      <c r="A85" s="35">
        <f>DATE(2026,12,25)</f>
        <v>46381</v>
      </c>
      <c r="B85" s="36" t="str">
        <f>TEXT($A85,"ddd")</f>
        <v>Fri</v>
      </c>
      <c r="C85" s="37" t="s">
        <v>473</v>
      </c>
      <c r="D85" s="37" t="s">
        <v>474</v>
      </c>
      <c r="E85" s="39" t="s">
        <v>475</v>
      </c>
      <c r="F85" s="25" t="s">
        <v>517</v>
      </c>
    </row>
    <row r="86" spans="1:6" x14ac:dyDescent="0.35">
      <c r="A86" s="12">
        <f>DATE(2027,1,1)</f>
        <v>46388</v>
      </c>
      <c r="B86" s="13" t="str">
        <f>TEXT($A86,"ddd")</f>
        <v>Fri</v>
      </c>
      <c r="C86" s="11" t="s">
        <v>497</v>
      </c>
      <c r="D86" s="11" t="s">
        <v>498</v>
      </c>
      <c r="E86" s="38" t="s">
        <v>475</v>
      </c>
      <c r="F86" s="25" t="s">
        <v>505</v>
      </c>
    </row>
    <row r="87" spans="1:6" x14ac:dyDescent="0.35">
      <c r="A87" s="31">
        <f>DATE(2027,1,1)</f>
        <v>46388</v>
      </c>
      <c r="B87" s="32" t="str">
        <f t="shared" si="2"/>
        <v>Fri</v>
      </c>
      <c r="C87" s="43" t="s">
        <v>232</v>
      </c>
      <c r="D87" s="33" t="s">
        <v>207</v>
      </c>
      <c r="E87" s="33" t="s">
        <v>131</v>
      </c>
      <c r="F87" s="25" t="s">
        <v>407</v>
      </c>
    </row>
    <row r="88" spans="1:6" x14ac:dyDescent="0.35">
      <c r="A88" s="35">
        <f>DATE(2027,1,30)</f>
        <v>46417</v>
      </c>
      <c r="B88" s="36" t="str">
        <f t="shared" si="2"/>
        <v>Sat</v>
      </c>
      <c r="C88" s="37" t="s">
        <v>168</v>
      </c>
      <c r="D88" s="37" t="s">
        <v>208</v>
      </c>
      <c r="E88" s="37" t="s">
        <v>121</v>
      </c>
      <c r="F88" s="25" t="s">
        <v>410</v>
      </c>
    </row>
    <row r="89" spans="1:6" x14ac:dyDescent="0.35">
      <c r="A89" s="35">
        <f>DATE(2027,2,6)</f>
        <v>46424</v>
      </c>
      <c r="B89" s="36" t="str">
        <f>TEXT($A89,"ddd")</f>
        <v>Sat</v>
      </c>
      <c r="C89" s="37" t="s">
        <v>491</v>
      </c>
      <c r="D89" s="37" t="s">
        <v>492</v>
      </c>
      <c r="E89" s="39" t="s">
        <v>475</v>
      </c>
      <c r="F89" s="25" t="s">
        <v>506</v>
      </c>
    </row>
    <row r="90" spans="1:6" x14ac:dyDescent="0.35">
      <c r="A90" s="35">
        <f>DATE(2027,2,7)</f>
        <v>46425</v>
      </c>
      <c r="B90" s="36" t="str">
        <f>TEXT($A90,"ddd")</f>
        <v>Sun</v>
      </c>
      <c r="C90" s="37" t="s">
        <v>493</v>
      </c>
      <c r="D90" s="37" t="s">
        <v>494</v>
      </c>
      <c r="E90" s="39" t="s">
        <v>475</v>
      </c>
      <c r="F90" s="25" t="s">
        <v>506</v>
      </c>
    </row>
    <row r="91" spans="1:6" x14ac:dyDescent="0.35">
      <c r="A91" s="12">
        <f>DATE(2027,2,8)</f>
        <v>46426</v>
      </c>
      <c r="B91" s="13" t="str">
        <f>TEXT($A91,"ddd")</f>
        <v>Mon</v>
      </c>
      <c r="C91" s="11" t="s">
        <v>495</v>
      </c>
      <c r="D91" s="11" t="s">
        <v>496</v>
      </c>
      <c r="E91" s="38" t="s">
        <v>475</v>
      </c>
      <c r="F91" s="25" t="s">
        <v>518</v>
      </c>
    </row>
    <row r="92" spans="1:6" x14ac:dyDescent="0.35">
      <c r="A92" s="41">
        <f>DATE(2027,2,18)</f>
        <v>46436</v>
      </c>
      <c r="B92" s="42" t="str">
        <f t="shared" si="2"/>
        <v>Thu</v>
      </c>
      <c r="C92" s="25" t="s">
        <v>235</v>
      </c>
      <c r="D92" s="25" t="s">
        <v>236</v>
      </c>
      <c r="E92" s="25" t="s">
        <v>234</v>
      </c>
      <c r="F92" s="26" t="s">
        <v>411</v>
      </c>
    </row>
    <row r="93" spans="1:6" x14ac:dyDescent="0.35">
      <c r="A93" s="12">
        <f>DATE(2027,3,10)</f>
        <v>46456</v>
      </c>
      <c r="B93" s="13" t="str">
        <f>TEXT($A93,"ddd")</f>
        <v>Wed</v>
      </c>
      <c r="C93" s="11" t="s">
        <v>489</v>
      </c>
      <c r="D93" s="11" t="s">
        <v>490</v>
      </c>
      <c r="E93" s="38" t="s">
        <v>486</v>
      </c>
      <c r="F93" s="25" t="s">
        <v>507</v>
      </c>
    </row>
    <row r="94" spans="1:6" x14ac:dyDescent="0.35">
      <c r="A94" s="31">
        <f>DATE(2027,3,19)</f>
        <v>46465</v>
      </c>
      <c r="B94" s="32" t="str">
        <f t="shared" si="2"/>
        <v>Fri</v>
      </c>
      <c r="C94" s="33" t="s">
        <v>169</v>
      </c>
      <c r="D94" s="33" t="s">
        <v>209</v>
      </c>
      <c r="E94" s="33" t="s">
        <v>124</v>
      </c>
      <c r="F94" s="26" t="s">
        <v>446</v>
      </c>
    </row>
    <row r="95" spans="1:6" x14ac:dyDescent="0.35">
      <c r="A95" s="35">
        <f>DATE(2027,3,25)</f>
        <v>46471</v>
      </c>
      <c r="B95" s="36" t="str">
        <f t="shared" si="2"/>
        <v>Thu</v>
      </c>
      <c r="C95" s="37" t="s">
        <v>170</v>
      </c>
      <c r="D95" s="37" t="s">
        <v>210</v>
      </c>
      <c r="E95" s="37" t="s">
        <v>121</v>
      </c>
      <c r="F95" s="26" t="s">
        <v>418</v>
      </c>
    </row>
    <row r="96" spans="1:6" x14ac:dyDescent="0.35">
      <c r="A96" s="12">
        <f>DATE(2027,3,26)</f>
        <v>46472</v>
      </c>
      <c r="B96" s="13" t="str">
        <f>TEXT($A96,"ddd")</f>
        <v>Fri</v>
      </c>
      <c r="C96" s="11" t="s">
        <v>487</v>
      </c>
      <c r="D96" s="11" t="s">
        <v>488</v>
      </c>
      <c r="E96" s="38" t="s">
        <v>475</v>
      </c>
      <c r="F96" s="25" t="s">
        <v>508</v>
      </c>
    </row>
    <row r="97" spans="1:6" x14ac:dyDescent="0.35">
      <c r="A97" s="31">
        <f>DATE(2027,4,3)</f>
        <v>46480</v>
      </c>
      <c r="B97" s="32" t="str">
        <f t="shared" si="2"/>
        <v>Sat</v>
      </c>
      <c r="C97" s="43" t="s">
        <v>223</v>
      </c>
      <c r="D97" s="33" t="s">
        <v>211</v>
      </c>
      <c r="E97" s="33" t="s">
        <v>234</v>
      </c>
      <c r="F97" s="26" t="s">
        <v>451</v>
      </c>
    </row>
    <row r="98" spans="1:6" x14ac:dyDescent="0.35">
      <c r="A98" s="35">
        <f>DATE(2027,4,9)</f>
        <v>46486</v>
      </c>
      <c r="B98" s="36" t="str">
        <f t="shared" si="2"/>
        <v>Fri</v>
      </c>
      <c r="C98" s="37" t="s">
        <v>169</v>
      </c>
      <c r="D98" s="37" t="s">
        <v>209</v>
      </c>
      <c r="E98" s="37" t="s">
        <v>124</v>
      </c>
      <c r="F98" s="26" t="s">
        <v>446</v>
      </c>
    </row>
    <row r="99" spans="1:6" x14ac:dyDescent="0.35">
      <c r="A99" s="35">
        <f>DATE(2027,5,1)</f>
        <v>46508</v>
      </c>
      <c r="B99" s="36" t="str">
        <f>TEXT($A99,"ddd")</f>
        <v>Sat</v>
      </c>
      <c r="C99" s="37" t="s">
        <v>482</v>
      </c>
      <c r="D99" s="37" t="s">
        <v>483</v>
      </c>
      <c r="E99" s="39" t="s">
        <v>475</v>
      </c>
      <c r="F99" s="25" t="s">
        <v>509</v>
      </c>
    </row>
    <row r="100" spans="1:6" x14ac:dyDescent="0.35">
      <c r="A100" s="12">
        <f>DATE(2027,5,17)</f>
        <v>46524</v>
      </c>
      <c r="B100" s="13" t="str">
        <f>TEXT($A100,"ddd")</f>
        <v>Mon</v>
      </c>
      <c r="C100" s="11" t="s">
        <v>484</v>
      </c>
      <c r="D100" s="11" t="s">
        <v>485</v>
      </c>
      <c r="E100" s="38" t="s">
        <v>486</v>
      </c>
      <c r="F100" s="25" t="s">
        <v>510</v>
      </c>
    </row>
    <row r="101" spans="1:6" x14ac:dyDescent="0.35">
      <c r="A101" s="41">
        <f>DATE(2027,5,19)</f>
        <v>46526</v>
      </c>
      <c r="B101" s="42" t="str">
        <f t="shared" si="2"/>
        <v>Wed</v>
      </c>
      <c r="C101" s="25" t="s">
        <v>171</v>
      </c>
      <c r="D101" s="25" t="s">
        <v>212</v>
      </c>
      <c r="E101" s="25" t="s">
        <v>233</v>
      </c>
      <c r="F101" s="26" t="s">
        <v>419</v>
      </c>
    </row>
    <row r="102" spans="1:6" x14ac:dyDescent="0.35">
      <c r="A102" s="12">
        <f>DATE(2027,5,20)</f>
        <v>46527</v>
      </c>
      <c r="B102" s="13" t="str">
        <f>TEXT($A102,"ddd")</f>
        <v>Thu</v>
      </c>
      <c r="C102" s="11" t="s">
        <v>480</v>
      </c>
      <c r="D102" s="11" t="s">
        <v>481</v>
      </c>
      <c r="E102" s="38" t="s">
        <v>475</v>
      </c>
      <c r="F102" s="25" t="s">
        <v>511</v>
      </c>
    </row>
    <row r="103" spans="1:6" x14ac:dyDescent="0.35">
      <c r="A103" s="31">
        <f>DATE(2027,5,20)</f>
        <v>46527</v>
      </c>
      <c r="B103" s="32" t="str">
        <f t="shared" si="2"/>
        <v>Thu</v>
      </c>
      <c r="C103" s="33" t="s">
        <v>172</v>
      </c>
      <c r="D103" s="33" t="s">
        <v>213</v>
      </c>
      <c r="E103" s="33" t="s">
        <v>233</v>
      </c>
      <c r="F103" s="26" t="s">
        <v>419</v>
      </c>
    </row>
    <row r="104" spans="1:6" x14ac:dyDescent="0.35">
      <c r="A104" s="12">
        <f>DATE(2027,5,21)</f>
        <v>46528</v>
      </c>
      <c r="B104" s="13" t="str">
        <f t="shared" si="2"/>
        <v>Fri</v>
      </c>
      <c r="C104" s="11" t="s">
        <v>173</v>
      </c>
      <c r="D104" s="11" t="s">
        <v>214</v>
      </c>
      <c r="E104" s="11" t="s">
        <v>233</v>
      </c>
      <c r="F104" s="26" t="s">
        <v>419</v>
      </c>
    </row>
    <row r="105" spans="1:6" x14ac:dyDescent="0.35">
      <c r="A105" s="12">
        <f>DATE(2027,5,28)</f>
        <v>46535</v>
      </c>
      <c r="B105" s="13" t="str">
        <f t="shared" si="2"/>
        <v>Fri</v>
      </c>
      <c r="C105" s="11" t="s">
        <v>174</v>
      </c>
      <c r="D105" s="11" t="s">
        <v>215</v>
      </c>
      <c r="E105" s="11" t="s">
        <v>121</v>
      </c>
      <c r="F105" s="26" t="s">
        <v>452</v>
      </c>
    </row>
    <row r="106" spans="1:6" x14ac:dyDescent="0.35">
      <c r="A106" s="12">
        <f>DATE(2027,6,11)</f>
        <v>46549</v>
      </c>
      <c r="B106" s="13" t="str">
        <f t="shared" si="2"/>
        <v>Fri</v>
      </c>
      <c r="C106" s="11" t="s">
        <v>255</v>
      </c>
      <c r="D106" s="11" t="s">
        <v>209</v>
      </c>
      <c r="E106" s="11" t="s">
        <v>124</v>
      </c>
      <c r="F106" s="26" t="s">
        <v>446</v>
      </c>
    </row>
    <row r="107" spans="1:6" x14ac:dyDescent="0.35">
      <c r="A107" s="12">
        <f>DATE(2027,7,9)</f>
        <v>46577</v>
      </c>
      <c r="B107" s="13" t="str">
        <f t="shared" si="2"/>
        <v>Fri</v>
      </c>
      <c r="C107" s="16" t="s">
        <v>458</v>
      </c>
      <c r="D107" s="11" t="s">
        <v>459</v>
      </c>
      <c r="E107" s="11" t="s">
        <v>124</v>
      </c>
      <c r="F107" s="25" t="s">
        <v>460</v>
      </c>
    </row>
    <row r="108" spans="1:6" x14ac:dyDescent="0.35">
      <c r="A108" s="35">
        <f>DATE(2027,7,30)</f>
        <v>46598</v>
      </c>
      <c r="B108" s="36" t="str">
        <f t="shared" si="2"/>
        <v>Fri</v>
      </c>
      <c r="C108" s="37" t="s">
        <v>175</v>
      </c>
      <c r="D108" s="37" t="s">
        <v>216</v>
      </c>
      <c r="E108" s="37" t="s">
        <v>124</v>
      </c>
      <c r="F108" s="26" t="s">
        <v>446</v>
      </c>
    </row>
    <row r="109" spans="1:6" x14ac:dyDescent="0.35">
      <c r="A109" s="12">
        <f>DATE(2027,8,9)</f>
        <v>46608</v>
      </c>
      <c r="B109" s="13" t="str">
        <f>TEXT($A109,"ddd")</f>
        <v>Mon</v>
      </c>
      <c r="C109" s="11" t="s">
        <v>478</v>
      </c>
      <c r="D109" s="11" t="s">
        <v>479</v>
      </c>
      <c r="E109" s="38" t="s">
        <v>475</v>
      </c>
      <c r="F109" s="25" t="s">
        <v>513</v>
      </c>
    </row>
    <row r="110" spans="1:6" x14ac:dyDescent="0.35">
      <c r="A110" s="31">
        <f>DATE(2027,8,16)</f>
        <v>46615</v>
      </c>
      <c r="B110" s="32" t="str">
        <f t="shared" si="2"/>
        <v>Mon</v>
      </c>
      <c r="C110" s="33" t="s">
        <v>176</v>
      </c>
      <c r="D110" s="33" t="s">
        <v>217</v>
      </c>
      <c r="E110" s="33" t="s">
        <v>233</v>
      </c>
      <c r="F110" s="26" t="s">
        <v>450</v>
      </c>
    </row>
    <row r="111" spans="1:6" x14ac:dyDescent="0.35">
      <c r="A111" s="12">
        <f>DATE(2027,8,20)</f>
        <v>46619</v>
      </c>
      <c r="B111" s="13" t="str">
        <f t="shared" si="2"/>
        <v>Fri</v>
      </c>
      <c r="C111" s="11" t="s">
        <v>177</v>
      </c>
      <c r="D111" s="11" t="s">
        <v>218</v>
      </c>
      <c r="E111" s="11" t="s">
        <v>124</v>
      </c>
      <c r="F111" s="26" t="s">
        <v>446</v>
      </c>
    </row>
    <row r="112" spans="1:6" x14ac:dyDescent="0.35">
      <c r="A112" s="12">
        <f>DATE(2027,9,10)</f>
        <v>46640</v>
      </c>
      <c r="B112" s="13" t="str">
        <f t="shared" si="2"/>
        <v>Fri</v>
      </c>
      <c r="C112" s="11" t="s">
        <v>169</v>
      </c>
      <c r="D112" s="11" t="s">
        <v>209</v>
      </c>
      <c r="E112" s="11" t="s">
        <v>124</v>
      </c>
      <c r="F112" s="26" t="s">
        <v>446</v>
      </c>
    </row>
    <row r="113" spans="1:6" x14ac:dyDescent="0.35">
      <c r="A113" s="12">
        <f>DATE(2027,9,18)</f>
        <v>46648</v>
      </c>
      <c r="B113" s="13" t="str">
        <f t="shared" si="2"/>
        <v>Sat</v>
      </c>
      <c r="C113" s="11" t="s">
        <v>178</v>
      </c>
      <c r="D113" s="11" t="s">
        <v>219</v>
      </c>
      <c r="E113" s="11" t="s">
        <v>131</v>
      </c>
      <c r="F113" s="26" t="s">
        <v>444</v>
      </c>
    </row>
    <row r="114" spans="1:6" x14ac:dyDescent="0.35">
      <c r="A114" s="12">
        <f>DATE(2027,10,1)</f>
        <v>46661</v>
      </c>
      <c r="B114" s="13" t="str">
        <f t="shared" si="2"/>
        <v>Fri</v>
      </c>
      <c r="C114" s="11" t="s">
        <v>169</v>
      </c>
      <c r="D114" s="11" t="s">
        <v>209</v>
      </c>
      <c r="E114" s="11" t="s">
        <v>124</v>
      </c>
      <c r="F114" s="26" t="s">
        <v>446</v>
      </c>
    </row>
    <row r="115" spans="1:6" x14ac:dyDescent="0.35">
      <c r="A115" s="35">
        <f>DATE(2027,10,15)</f>
        <v>46675</v>
      </c>
      <c r="B115" s="36" t="str">
        <f t="shared" si="2"/>
        <v>Fri</v>
      </c>
      <c r="C115" s="37" t="s">
        <v>169</v>
      </c>
      <c r="D115" s="37" t="s">
        <v>209</v>
      </c>
      <c r="E115" s="37" t="s">
        <v>124</v>
      </c>
      <c r="F115" s="26" t="s">
        <v>446</v>
      </c>
    </row>
    <row r="116" spans="1:6" x14ac:dyDescent="0.35">
      <c r="A116" s="12">
        <f>DATE(2027,10,28)</f>
        <v>46688</v>
      </c>
      <c r="B116" s="13" t="str">
        <f>TEXT($A116,"ddd")</f>
        <v>Thu</v>
      </c>
      <c r="C116" s="11" t="s">
        <v>476</v>
      </c>
      <c r="D116" s="11" t="s">
        <v>477</v>
      </c>
      <c r="E116" s="38" t="s">
        <v>475</v>
      </c>
      <c r="F116" s="25" t="s">
        <v>515</v>
      </c>
    </row>
    <row r="117" spans="1:6" x14ac:dyDescent="0.35">
      <c r="A117" s="31">
        <f>DATE(2027,11,12)</f>
        <v>46703</v>
      </c>
      <c r="B117" s="32" t="str">
        <f t="shared" si="2"/>
        <v>Fri</v>
      </c>
      <c r="C117" s="33" t="s">
        <v>169</v>
      </c>
      <c r="D117" s="33" t="s">
        <v>209</v>
      </c>
      <c r="E117" s="33" t="s">
        <v>124</v>
      </c>
      <c r="F117" s="26" t="s">
        <v>446</v>
      </c>
    </row>
    <row r="118" spans="1:6" x14ac:dyDescent="0.35">
      <c r="A118" s="12">
        <f>DATE(2027,11,26)</f>
        <v>46717</v>
      </c>
      <c r="B118" s="13" t="str">
        <f t="shared" si="2"/>
        <v>Fri</v>
      </c>
      <c r="C118" s="16" t="s">
        <v>458</v>
      </c>
      <c r="D118" s="11" t="s">
        <v>459</v>
      </c>
      <c r="E118" s="11" t="s">
        <v>124</v>
      </c>
      <c r="F118" s="25" t="s">
        <v>460</v>
      </c>
    </row>
    <row r="119" spans="1:6" x14ac:dyDescent="0.35">
      <c r="A119" s="35">
        <f>DATE(2027,12,16)</f>
        <v>46737</v>
      </c>
      <c r="B119" s="36" t="str">
        <f t="shared" si="2"/>
        <v>Thu</v>
      </c>
      <c r="C119" s="37" t="s">
        <v>166</v>
      </c>
      <c r="D119" s="40" t="s">
        <v>206</v>
      </c>
      <c r="E119" s="37" t="s">
        <v>131</v>
      </c>
      <c r="F119" s="26" t="s">
        <v>449</v>
      </c>
    </row>
    <row r="120" spans="1:6" x14ac:dyDescent="0.35">
      <c r="A120" s="12">
        <f>DATE(2027,12,25)</f>
        <v>46746</v>
      </c>
      <c r="B120" s="13" t="str">
        <f>TEXT($A120,"ddd")</f>
        <v>Sat</v>
      </c>
      <c r="C120" s="11" t="s">
        <v>473</v>
      </c>
      <c r="D120" s="11" t="s">
        <v>474</v>
      </c>
      <c r="E120" s="38" t="s">
        <v>475</v>
      </c>
      <c r="F120" s="25" t="s">
        <v>517</v>
      </c>
    </row>
  </sheetData>
  <autoFilter ref="A1:E120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46265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b731a6fc-fd02-48a8-bb42-25eb2962d7a5"/>
    <ds:schemaRef ds:uri="http://schemas.openxmlformats.org/package/2006/metadata/core-properties"/>
    <ds:schemaRef ds:uri="bde74905-0e41-4c1c-a9e9-0b0ca4a779e3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2026-08-31T03:38:30Z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