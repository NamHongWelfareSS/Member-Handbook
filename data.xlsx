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476" documentId="11_A88C884250063A86F00218599B70D26268CCBE65" xr6:coauthVersionLast="47" xr6:coauthVersionMax="47" xr10:uidLastSave="{3E6604B9-4288-4B83-B3C3-FDF1C6D712B7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Info" sheetId="6" r:id="rId6"/>
  </sheets>
  <definedNames>
    <definedName name="_xlnm._FilterDatabase" localSheetId="1" hidden="1">'1_Events'!$A$1:$E$77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" i="5" l="1"/>
  <c r="B44" i="5"/>
  <c r="A46" i="5"/>
  <c r="B46" i="5" s="1"/>
  <c r="A28" i="5"/>
  <c r="B28" i="5" s="1"/>
  <c r="A42" i="5"/>
  <c r="B42" i="5" s="1"/>
  <c r="A26" i="5"/>
  <c r="B26" i="5" s="1"/>
  <c r="A25" i="5"/>
  <c r="B25" i="5" s="1"/>
  <c r="A22" i="5"/>
  <c r="B22" i="5" s="1"/>
  <c r="A20" i="5"/>
  <c r="B20" i="5" s="1"/>
  <c r="A31" i="5" l="1"/>
  <c r="B31" i="5" s="1"/>
  <c r="A34" i="5"/>
  <c r="A45" i="5"/>
  <c r="A43" i="5"/>
  <c r="B43" i="5" s="1"/>
  <c r="A41" i="5"/>
  <c r="B41" i="5" s="1"/>
  <c r="A39" i="5"/>
  <c r="B39" i="5" s="1"/>
  <c r="A38" i="5"/>
  <c r="B38" i="5" s="1"/>
  <c r="A37" i="5"/>
  <c r="B37" i="5" s="1"/>
  <c r="A36" i="5"/>
  <c r="B36" i="5" s="1"/>
  <c r="A35" i="5"/>
  <c r="B35" i="5" s="1"/>
  <c r="A33" i="5"/>
  <c r="B33" i="5" s="1"/>
  <c r="A32" i="5"/>
  <c r="B32" i="5" s="1"/>
  <c r="A30" i="5"/>
  <c r="B30" i="5" s="1"/>
  <c r="A29" i="5" l="1"/>
  <c r="B29" i="5" s="1"/>
  <c r="A2" i="5"/>
  <c r="B2" i="5" s="1"/>
  <c r="A3" i="5"/>
  <c r="B3" i="5" s="1"/>
  <c r="A4" i="5"/>
  <c r="B4" i="5" s="1"/>
  <c r="A5" i="5"/>
  <c r="B5" i="5" s="1"/>
  <c r="A6" i="5"/>
  <c r="B6" i="5" s="1"/>
  <c r="A7" i="5"/>
  <c r="B7" i="5"/>
  <c r="A8" i="5"/>
  <c r="B8" i="5" s="1"/>
  <c r="A9" i="5"/>
  <c r="B9" i="5" s="1"/>
  <c r="A10" i="5"/>
  <c r="B10" i="5" s="1"/>
  <c r="A11" i="5"/>
  <c r="B11" i="5" s="1"/>
  <c r="A12" i="5"/>
  <c r="B12" i="5" s="1"/>
  <c r="A13" i="5"/>
  <c r="B13" i="5" s="1"/>
  <c r="A14" i="5"/>
  <c r="B14" i="5" s="1"/>
  <c r="A15" i="5"/>
  <c r="B15" i="5" s="1"/>
  <c r="A16" i="5"/>
  <c r="B16" i="5" s="1"/>
  <c r="A17" i="5"/>
  <c r="B17" i="5" s="1"/>
  <c r="A18" i="5"/>
  <c r="B18" i="5" s="1"/>
  <c r="A19" i="5"/>
  <c r="B19" i="5" s="1"/>
  <c r="A21" i="5"/>
  <c r="B21" i="5" s="1"/>
  <c r="A23" i="5"/>
  <c r="B23" i="5" s="1"/>
  <c r="A24" i="5"/>
  <c r="B24" i="5" s="1"/>
  <c r="A27" i="5"/>
  <c r="B27" i="5" s="1"/>
  <c r="B34" i="5"/>
  <c r="A40" i="5"/>
  <c r="B40" i="5" s="1"/>
  <c r="B45" i="5"/>
  <c r="A47" i="5"/>
  <c r="B47" i="5" s="1"/>
  <c r="A48" i="5"/>
  <c r="B48" i="5" s="1"/>
  <c r="A49" i="5"/>
  <c r="B49" i="5" s="1"/>
  <c r="A50" i="5"/>
  <c r="B50" i="5" s="1"/>
  <c r="A51" i="5"/>
  <c r="B51" i="5" s="1"/>
  <c r="A52" i="5"/>
  <c r="B52" i="5" s="1"/>
  <c r="A53" i="5"/>
  <c r="B53" i="5" s="1"/>
  <c r="A54" i="5"/>
  <c r="B54" i="5" s="1"/>
  <c r="A55" i="5"/>
  <c r="B55" i="5" s="1"/>
  <c r="A56" i="5"/>
  <c r="B56" i="5" s="1"/>
  <c r="A57" i="5"/>
  <c r="B57" i="5" s="1"/>
  <c r="A58" i="5"/>
  <c r="B58" i="5" s="1"/>
  <c r="A59" i="5"/>
  <c r="B59" i="5" s="1"/>
  <c r="A60" i="5"/>
  <c r="B60" i="5" s="1"/>
  <c r="A61" i="5"/>
  <c r="B61" i="5" s="1"/>
  <c r="A62" i="5"/>
  <c r="B62" i="5" s="1"/>
  <c r="A63" i="5"/>
  <c r="B63" i="5" s="1"/>
  <c r="A64" i="5"/>
  <c r="B64" i="5" s="1"/>
  <c r="A65" i="5"/>
  <c r="B65" i="5" s="1"/>
  <c r="A66" i="5"/>
  <c r="B66" i="5" s="1"/>
  <c r="A67" i="5"/>
  <c r="B67" i="5" s="1"/>
  <c r="A68" i="5"/>
  <c r="B68" i="5" s="1"/>
  <c r="A69" i="5"/>
  <c r="B69" i="5" s="1"/>
  <c r="A70" i="5"/>
  <c r="B70" i="5" s="1"/>
  <c r="A71" i="5"/>
  <c r="B71" i="5" s="1"/>
  <c r="A72" i="5"/>
  <c r="B72" i="5" s="1"/>
  <c r="A73" i="5"/>
  <c r="B73" i="5" s="1"/>
  <c r="A74" i="5"/>
  <c r="B74" i="5" s="1"/>
  <c r="A75" i="5"/>
  <c r="B75" i="5" s="1"/>
  <c r="A76" i="5"/>
  <c r="B76" i="5" s="1"/>
  <c r="A77" i="5"/>
  <c r="B77" i="5" s="1"/>
</calcChain>
</file>

<file path=xl/sharedStrings.xml><?xml version="1.0" encoding="utf-8"?>
<sst xmlns="http://schemas.openxmlformats.org/spreadsheetml/2006/main" count="528" uniqueCount="280">
  <si>
    <t>NHWSS COMMITTEE HANDBOOK — DATA FILE  南凤福利协会委员手册数据文件</t>
  </si>
  <si>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</si>
  <si>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</si>
  <si>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</si>
  <si>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</si>
  <si>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</si>
  <si>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</si>
  <si>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</si>
  <si>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</si>
  <si>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</si>
  <si>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</si>
  <si>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</si>
  <si>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</si>
  <si>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</si>
  <si>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</si>
  <si>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</si>
  <si>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</si>
  <si>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</si>
  <si>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</si>
  <si>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</si>
  <si>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</si>
  <si>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</si>
  <si>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</si>
  <si>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</si>
  <si>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</si>
  <si>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</si>
  <si>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</si>
  <si>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</si>
  <si>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</si>
  <si>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</si>
  <si>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</si>
  <si>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</si>
  <si>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</si>
  <si>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</si>
  <si>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</si>
  <si>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</si>
  <si>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</si>
  <si>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</si>
  <si>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</si>
  <si>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</si>
  <si>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</si>
  <si>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</si>
  <si>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</si>
  <si>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</si>
  <si>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</si>
  <si>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</si>
  <si>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</si>
  <si>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</si>
  <si>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</si>
  <si>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</si>
  <si>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</si>
  <si>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</si>
  <si>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</si>
  <si>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</si>
  <si>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</si>
  <si>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</si>
  <si>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</si>
  <si>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</si>
  <si>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</si>
  <si>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</si>
  <si>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</si>
  <si>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</si>
  <si>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</si>
  <si>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黄泉森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</si>
  <si>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</si>
  <si>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</si>
  <si>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</si>
  <si>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</si>
  <si>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</si>
  <si>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</si>
  <si>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</si>
  <si>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</si>
  <si>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</si>
  <si>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</si>
  <si>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</si>
  <si>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</si>
  <si>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</si>
  <si>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</si>
  <si>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</si>
  <si>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</si>
  <si>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</si>
  <si>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</si>
  <si>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</si>
  <si>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</si>
  <si>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</si>
  <si>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</si>
  <si>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</si>
  <si>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</si>
  <si>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</si>
  <si>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</si>
  <si>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</si>
  <si>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</si>
  <si>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</si>
  <si>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</si>
  <si>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</si>
  <si>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</si>
  <si>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</si>
  <si>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</si>
  <si>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</si>
  <si>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</si>
  <si>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</si>
  <si>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</si>
  <si>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</si>
  <si>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</si>
  <si>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</si>
  <si>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</si>
  <si>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</si>
  <si>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</si>
  <si>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</si>
  <si>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</si>
  <si>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</si>
  <si>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</si>
  <si>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</si>
  <si>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副会长委员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</si>
  <si>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</si>
  <si>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</si>
  <si>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</si>
  <si>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</si>
  <si>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</si>
  <si>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</si>
  <si>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</si>
  <si>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</si>
  <si>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</si>
  <si>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</si>
  <si>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</si>
  <si>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</si>
  <si>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</si>
  <si>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</si>
  <si>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</si>
  <si>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</si>
  <si>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</si>
  <si>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</si>
  <si>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</si>
  <si>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</si>
  <si>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</si>
  <si>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</si>
  <si>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</si>
  <si>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</si>
  <si>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</si>
  <si>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Charity Concert at Tzu Chi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</si>
  <si>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</si>
  <si>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</si>
  <si>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</si>
  <si>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</si>
  <si>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</si>
  <si>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</si>
  <si>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</si>
  <si>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</si>
  <si>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</si>
  <si>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</si>
  <si>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</si>
  <si>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常年会员大会暨第十届管理委员会选举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</si>
  <si>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</si>
  <si>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</si>
  <si>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</si>
  <si>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</si>
  <si>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</si>
  <si>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第十届管理委员会宣誓就职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</si>
  <si>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</si>
  <si>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</si>
  <si>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</si>
  <si>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</si>
  <si>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</si>
  <si>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</si>
  <si>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</si>
  <si>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</si>
  <si>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</si>
  <si>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</si>
  <si>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</si>
  <si>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</si>
  <si>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</si>
  <si>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</si>
  <si>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</si>
  <si>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</si>
  <si>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</si>
  <si>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</si>
  <si>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慈济慈善演唱会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</si>
  <si>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</si>
  <si>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</si>
  <si>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</si>
  <si>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</si>
  <si>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</si>
  <si>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</si>
  <si>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</si>
  <si>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</si>
  <si>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</si>
  <si>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</si>
  <si>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</si>
  <si>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</si>
  <si>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</si>
  <si>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</si>
  <si>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</si>
  <si>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</si>
  <si>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</si>
  <si>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</si>
  <si>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</si>
  <si>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</si>
  <si>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</si>
  <si>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</si>
  <si>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</si>
  <si>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</si>
  <si>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</si>
  <si>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</si>
  <si>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</si>
  <si>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</si>
  <si>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</si>
  <si>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</si>
  <si>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南凤福利协会 Nam Hong Welfare Service Society · For committee members reference 仅供委员参考</t>
  </si>
  <si>
    <t>[Tentative] Charity Walk - postpone to April 2027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</si>
  <si>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</si>
  <si>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</si>
  <si>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</si>
  <si>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</si>
  <si>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</si>
  <si>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</si>
  <si>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</si>
  <si>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</si>
  <si>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</si>
  <si>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</si>
  <si>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慈善健走（暂定）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</si>
  <si>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</si>
  <si>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</si>
  <si>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</si>
  <si>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</si>
  <si>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</si>
  <si>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</si>
  <si>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</si>
  <si>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</si>
  <si>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</si>
  <si>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</si>
  <si>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</si>
  <si>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</si>
  <si>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</si>
  <si>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</si>
  <si>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</si>
  <si>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</si>
  <si>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</si>
  <si>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山顶师城杨艺中元会 (代表：梁天城, Kathy, Jin Hoa）</t>
  </si>
  <si>
    <t>元龙聖庙（关帝聖君兴诸众神诞）(代表：徐金声, Agnes, Bryan, Kathy, Jin Hoa）。筹款活动包括义标。</t>
  </si>
  <si>
    <t>大牌137中元会 (代表：徐金声,Agnes, Yan Yi）。筹款活动包括义标。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</si>
  <si>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</si>
  <si>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</si>
  <si>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</si>
  <si>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</si>
  <si>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</si>
  <si>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</si>
  <si>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</si>
  <si>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</si>
  <si>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2026年中邦第61届国庆晚宴，晚上7点至10点。（代表：陈浚纬, Bill Tan）</t>
  </si>
  <si>
    <t>[日期未确认] 方舟@岗巴士中元会 (代表：Doran, Pei Yuen, Chee Hwee, 晓晓）</t>
  </si>
  <si>
    <t>717 商店中元会 (代表：周锦昌, Kathy, 丽菁, 丽丝和先生）</t>
  </si>
  <si>
    <t>华报善堂中元会 (代表：徐金声, Chi Hwee, Yan Yi, Agnes, Jin Hoa）。筹款活动包括义标。</t>
  </si>
  <si>
    <t>[日期未确认] 义顺镇商贩联合中元会歌台 (代表：徐金声, Doran, Pei Yuen）</t>
  </si>
  <si>
    <t>义顺南旺村中元会。(代表：Doran, Bryan, 丽菁, 丽丝和先生）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</si>
  <si>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</si>
  <si>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</si>
  <si>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</si>
  <si>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</si>
  <si>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</si>
  <si>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</si>
  <si>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</si>
  <si>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</si>
  <si>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>Wee Guan Construction CSR Mental Health Day (150 pax). 70 volunteers. Buffet, activities, goodie bag.</t>
  </si>
  <si>
    <t>Wee Guan Construction 企业社会责任（150人）</t>
  </si>
  <si>
    <t>3 August 2026</t>
  </si>
  <si>
    <t xml:space="preserve">Temple Dinner - 元龙聖庙（关帝聖君兴诸众神诞）(Representative: Cher Kim Seah, Agnes, Bryan, Kathy, Jin Hoa - all to arrive by 7pm). Auction item included. </t>
  </si>
  <si>
    <t>Lunar July (ZhongYuan Festival) - Block 137 Yishun Ring Road (Representative: Cher Kim Seah, Agnes, Yan Yi - all to arrive by 7pm). Auction item included.</t>
  </si>
  <si>
    <t>Chong Pang 61st National Day Dinner 2026, 7-10pm at Chong Pang 165 Hardcourt. (Representative: William Tan, Bill Tan - all to arrive by 7pm)</t>
  </si>
  <si>
    <t>Lunar July (ZhongYuan Festival) - YS ONE, 1 Yishun Street 23 (Representative: Bryan, 丽菁, 丽丝和先生 - all to arrive by 7pm)</t>
  </si>
  <si>
    <t>[Tentative date] Lunar July (ZhongYuan Festival) - 7 Gambas Crescent, ARK@Gambas Level 2 (Representative: Doran, Pei Yuen, Chi Hwee, 晓晓 - all to arrive by 7pm)</t>
  </si>
  <si>
    <t>Lunar July (ZhongYuan Festival) - 724 Yishun Street 71 (Representative: Chew Kim Cheong, Kathy, 丽菁, 丽丝和先生 - all to arrive by 7pm)</t>
  </si>
  <si>
    <t>Lunar July (ZhongYuan Festival) - 561 Yishun Ring Road (Representative: Cher Kim Seah,Chi Hwee, Yan Yi, Agnes - all to arrive by 7pm). Auction item included.</t>
  </si>
  <si>
    <t>Lunar July (ZhongYuan Festival) - Jurong Safra Pearl Garden Restaurant (Representative: Neo Tian Siah, Kathy, Jin Hoa - all to arrive by 7pm)</t>
  </si>
  <si>
    <t>[Tentative date] Lunar July (ZhongYuan Festival) - 104 Yishun Ring Road (Representative: Cher Kim Seah, Pei Yuen, Yan Yi - all to arrive by 7pm). Auction item included.</t>
  </si>
  <si>
    <t>[Tentative date] Lunar July (ZhongYuan Festival) - 104 Yishun Ring Road (Representative: Cher Kim Seah, Doran, Pei Yuen - all to arrive by 7pm)</t>
  </si>
  <si>
    <t>Lunar July (ZhongYuan Festival) - Nam Hong Siang Theon (Representative: Neo Tian Siah, NHWSS office staff, 5 front desk, 晓晓 - all to arrive by 7pm). Auction item included.</t>
  </si>
  <si>
    <t>Lunar July (ZhongYuan Festival) - Nam Hong Siang Theon dinner (200 pax) - all to arrive by 7pm</t>
  </si>
  <si>
    <t xml:space="preserve">Lunar July (ZhongYuan Festival) - Blk 838 Yishun Street 81 (Representative: Doran, Bryan, 丽菁, 丽丝和先生 - all to arrive by 7pm) </t>
  </si>
  <si>
    <t>North West District Meeting and Council Appointment Ceremony 2026. 6pm-9pm. (Representative: Jin Hoa)</t>
  </si>
  <si>
    <t>Govt. Agency Invitation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</si>
</sst>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35" sqref="A35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0</v>
      </c>
    </row>
    <row r="2" spans="1:1" x14ac:dyDescent="0.35">
      <c r="A2" s="2"/>
    </row>
    <row r="3" spans="1:1" x14ac:dyDescent="0.35">
      <c r="A3" s="1" t="s">
        <v>1</v>
      </c>
    </row>
    <row r="4" spans="1:1" x14ac:dyDescent="0.35">
      <c r="A4" s="2" t="s">
        <v>2</v>
      </c>
    </row>
    <row r="5" spans="1:1" x14ac:dyDescent="0.35">
      <c r="A5" s="2" t="s">
        <v>3</v>
      </c>
    </row>
    <row r="6" spans="1:1" x14ac:dyDescent="0.35">
      <c r="A6" s="2"/>
    </row>
    <row r="7" spans="1:1" x14ac:dyDescent="0.35">
      <c r="A7" s="1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 t="s">
        <v>10</v>
      </c>
    </row>
    <row r="14" spans="1:1" x14ac:dyDescent="0.35">
      <c r="A14" s="2" t="s">
        <v>11</v>
      </c>
    </row>
    <row r="15" spans="1:1" x14ac:dyDescent="0.35">
      <c r="A15" s="2" t="s">
        <v>12</v>
      </c>
    </row>
    <row r="16" spans="1:1" x14ac:dyDescent="0.35">
      <c r="A16" s="2" t="s">
        <v>13</v>
      </c>
    </row>
    <row r="17" spans="1:1" x14ac:dyDescent="0.35">
      <c r="A17" s="2" t="s">
        <v>14</v>
      </c>
    </row>
    <row r="18" spans="1:1" x14ac:dyDescent="0.35">
      <c r="A18" s="2" t="s">
        <v>15</v>
      </c>
    </row>
    <row r="19" spans="1:1" x14ac:dyDescent="0.35">
      <c r="A19" s="2"/>
    </row>
    <row r="20" spans="1:1" x14ac:dyDescent="0.35">
      <c r="A20" s="1" t="s">
        <v>16</v>
      </c>
    </row>
    <row r="21" spans="1:1" x14ac:dyDescent="0.35">
      <c r="A21" s="2" t="s">
        <v>17</v>
      </c>
    </row>
    <row r="22" spans="1:1" x14ac:dyDescent="0.35">
      <c r="A22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77"/>
  <sheetViews>
    <sheetView tabSelected="1" topLeftCell="D1" workbookViewId="0">
      <pane ySplit="1" topLeftCell="A23" activePane="bottomLeft" state="frozen"/>
      <selection pane="bottomLeft" activeCell="E44" sqref="E44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5" x14ac:dyDescent="0.35">
      <c r="A1" s="10" t="s">
        <v>31</v>
      </c>
      <c r="B1" s="10" t="s">
        <v>124</v>
      </c>
      <c r="C1" s="10" t="s">
        <v>32</v>
      </c>
      <c r="D1" s="10" t="s">
        <v>33</v>
      </c>
      <c r="E1" s="10" t="s">
        <v>140</v>
      </c>
    </row>
    <row r="2" spans="1:5" x14ac:dyDescent="0.35">
      <c r="A2" s="12">
        <f>DATE(2026,1,1)</f>
        <v>46023</v>
      </c>
      <c r="B2" s="13" t="str">
        <f t="shared" ref="B2:B50" si="0">TEXT($A2,"ddd")</f>
        <v>Thu</v>
      </c>
      <c r="C2" s="11" t="s">
        <v>141</v>
      </c>
      <c r="D2" s="11" t="s">
        <v>142</v>
      </c>
      <c r="E2" s="11" t="s">
        <v>129</v>
      </c>
    </row>
    <row r="3" spans="1:5" x14ac:dyDescent="0.35">
      <c r="A3" s="12">
        <f>DATE(2026,2,8)</f>
        <v>46061</v>
      </c>
      <c r="B3" s="13" t="str">
        <f t="shared" si="0"/>
        <v>Sun</v>
      </c>
      <c r="C3" s="11" t="s">
        <v>125</v>
      </c>
      <c r="D3" s="11" t="s">
        <v>143</v>
      </c>
      <c r="E3" s="11" t="s">
        <v>126</v>
      </c>
    </row>
    <row r="4" spans="1:5" x14ac:dyDescent="0.35">
      <c r="A4" s="12">
        <f>DATE(2026,2,26)</f>
        <v>46079</v>
      </c>
      <c r="B4" s="13" t="str">
        <f t="shared" si="0"/>
        <v>Thu</v>
      </c>
      <c r="C4" s="11" t="s">
        <v>144</v>
      </c>
      <c r="D4" s="11" t="s">
        <v>145</v>
      </c>
      <c r="E4" s="11" t="s">
        <v>136</v>
      </c>
    </row>
    <row r="5" spans="1:5" x14ac:dyDescent="0.35">
      <c r="A5" s="12">
        <f>DATE(2026,2,27)</f>
        <v>46080</v>
      </c>
      <c r="B5" s="13" t="str">
        <f t="shared" si="0"/>
        <v>Fri</v>
      </c>
      <c r="C5" s="11" t="s">
        <v>127</v>
      </c>
      <c r="D5" s="11" t="s">
        <v>146</v>
      </c>
      <c r="E5" s="11" t="s">
        <v>126</v>
      </c>
    </row>
    <row r="6" spans="1:5" x14ac:dyDescent="0.35">
      <c r="A6" s="12">
        <f>DATE(2026,3,7)</f>
        <v>46088</v>
      </c>
      <c r="B6" s="13" t="str">
        <f t="shared" si="0"/>
        <v>Sat</v>
      </c>
      <c r="C6" s="11" t="s">
        <v>128</v>
      </c>
      <c r="D6" s="11" t="s">
        <v>147</v>
      </c>
      <c r="E6" s="11" t="s">
        <v>126</v>
      </c>
    </row>
    <row r="7" spans="1:5" x14ac:dyDescent="0.35">
      <c r="A7" s="12">
        <f>DATE(2026,3,20)</f>
        <v>46101</v>
      </c>
      <c r="B7" s="13" t="str">
        <f t="shared" si="0"/>
        <v>Fri</v>
      </c>
      <c r="C7" s="11" t="s">
        <v>130</v>
      </c>
      <c r="D7" s="11" t="s">
        <v>148</v>
      </c>
      <c r="E7" s="11" t="s">
        <v>129</v>
      </c>
    </row>
    <row r="8" spans="1:5" x14ac:dyDescent="0.35">
      <c r="A8" s="12">
        <f>DATE(2026,3,23)</f>
        <v>46104</v>
      </c>
      <c r="B8" s="13" t="str">
        <f t="shared" si="0"/>
        <v>Mon</v>
      </c>
      <c r="C8" s="11" t="s">
        <v>131</v>
      </c>
      <c r="D8" s="11" t="s">
        <v>149</v>
      </c>
      <c r="E8" s="11" t="s">
        <v>126</v>
      </c>
    </row>
    <row r="9" spans="1:5" x14ac:dyDescent="0.35">
      <c r="A9" s="12">
        <f>DATE(2026,3,24)</f>
        <v>46105</v>
      </c>
      <c r="B9" s="13" t="str">
        <f t="shared" si="0"/>
        <v>Tue</v>
      </c>
      <c r="C9" s="11" t="s">
        <v>132</v>
      </c>
      <c r="D9" s="11" t="s">
        <v>150</v>
      </c>
      <c r="E9" s="11" t="s">
        <v>126</v>
      </c>
    </row>
    <row r="10" spans="1:5" x14ac:dyDescent="0.35">
      <c r="A10" s="12">
        <f>DATE(2026,3,27)</f>
        <v>46108</v>
      </c>
      <c r="B10" s="13" t="str">
        <f t="shared" si="0"/>
        <v>Fri</v>
      </c>
      <c r="C10" s="11" t="s">
        <v>133</v>
      </c>
      <c r="D10" s="16" t="s">
        <v>245</v>
      </c>
      <c r="E10" s="11" t="s">
        <v>126</v>
      </c>
    </row>
    <row r="11" spans="1:5" x14ac:dyDescent="0.35">
      <c r="A11" s="12">
        <f>DATE(2026,4,20)</f>
        <v>46132</v>
      </c>
      <c r="B11" s="13" t="str">
        <f t="shared" si="0"/>
        <v>Mon</v>
      </c>
      <c r="C11" s="11" t="s">
        <v>135</v>
      </c>
      <c r="D11" s="11" t="s">
        <v>151</v>
      </c>
      <c r="E11" s="11" t="s">
        <v>134</v>
      </c>
    </row>
    <row r="12" spans="1:5" x14ac:dyDescent="0.35">
      <c r="A12" s="12">
        <f>DATE(2026,5,4)</f>
        <v>46146</v>
      </c>
      <c r="B12" s="13" t="str">
        <f t="shared" si="0"/>
        <v>Mon</v>
      </c>
      <c r="C12" s="11" t="s">
        <v>152</v>
      </c>
      <c r="D12" s="11" t="s">
        <v>153</v>
      </c>
      <c r="E12" s="11" t="s">
        <v>134</v>
      </c>
    </row>
    <row r="13" spans="1:5" x14ac:dyDescent="0.35">
      <c r="A13" s="12">
        <f>DATE(2026,5,15)</f>
        <v>46157</v>
      </c>
      <c r="B13" s="13" t="str">
        <f t="shared" si="0"/>
        <v>Fri</v>
      </c>
      <c r="C13" s="11" t="s">
        <v>154</v>
      </c>
      <c r="D13" s="11" t="s">
        <v>155</v>
      </c>
      <c r="E13" s="11" t="s">
        <v>136</v>
      </c>
    </row>
    <row r="14" spans="1:5" x14ac:dyDescent="0.35">
      <c r="A14" s="12">
        <f>DATE(2026,5,24)</f>
        <v>46166</v>
      </c>
      <c r="B14" s="13" t="str">
        <f t="shared" si="0"/>
        <v>Sun</v>
      </c>
      <c r="C14" s="11" t="s">
        <v>156</v>
      </c>
      <c r="D14" s="11" t="s">
        <v>157</v>
      </c>
      <c r="E14" s="11" t="s">
        <v>134</v>
      </c>
    </row>
    <row r="15" spans="1:5" x14ac:dyDescent="0.35">
      <c r="A15" s="12">
        <f>DATE(2026,5,25)</f>
        <v>46167</v>
      </c>
      <c r="B15" s="13" t="str">
        <f t="shared" si="0"/>
        <v>Mon</v>
      </c>
      <c r="C15" s="11" t="s">
        <v>137</v>
      </c>
      <c r="D15" s="11" t="s">
        <v>158</v>
      </c>
      <c r="E15" s="11" t="s">
        <v>126</v>
      </c>
    </row>
    <row r="16" spans="1:5" x14ac:dyDescent="0.35">
      <c r="A16" s="12">
        <f>DATE(2026,5,29)</f>
        <v>46171</v>
      </c>
      <c r="B16" s="13" t="str">
        <f t="shared" si="0"/>
        <v>Fri</v>
      </c>
      <c r="C16" s="11" t="s">
        <v>159</v>
      </c>
      <c r="D16" s="11" t="s">
        <v>160</v>
      </c>
      <c r="E16" s="11" t="s">
        <v>258</v>
      </c>
    </row>
    <row r="17" spans="1:5" x14ac:dyDescent="0.35">
      <c r="A17" s="12">
        <f>DATE(2026,5,30)</f>
        <v>46172</v>
      </c>
      <c r="B17" s="13" t="str">
        <f t="shared" si="0"/>
        <v>Sat</v>
      </c>
      <c r="C17" s="11" t="s">
        <v>161</v>
      </c>
      <c r="D17" s="11" t="s">
        <v>162</v>
      </c>
      <c r="E17" s="11" t="s">
        <v>258</v>
      </c>
    </row>
    <row r="18" spans="1:5" x14ac:dyDescent="0.35">
      <c r="A18" s="12">
        <f>DATE(2026,5,31)</f>
        <v>46173</v>
      </c>
      <c r="B18" s="13" t="str">
        <f t="shared" si="0"/>
        <v>Sun</v>
      </c>
      <c r="C18" s="11" t="s">
        <v>163</v>
      </c>
      <c r="D18" s="11" t="s">
        <v>164</v>
      </c>
      <c r="E18" s="11" t="s">
        <v>258</v>
      </c>
    </row>
    <row r="19" spans="1:5" x14ac:dyDescent="0.35">
      <c r="A19" s="12">
        <f>DATE(2026,6,1)</f>
        <v>46174</v>
      </c>
      <c r="B19" s="13" t="str">
        <f t="shared" si="0"/>
        <v>Mon</v>
      </c>
      <c r="C19" s="11" t="s">
        <v>165</v>
      </c>
      <c r="D19" s="11" t="s">
        <v>166</v>
      </c>
      <c r="E19" s="11" t="s">
        <v>258</v>
      </c>
    </row>
    <row r="20" spans="1:5" x14ac:dyDescent="0.35">
      <c r="A20" s="12">
        <f>DATE(2026,6,12)</f>
        <v>46185</v>
      </c>
      <c r="B20" s="13" t="str">
        <f t="shared" si="0"/>
        <v>Fri</v>
      </c>
      <c r="C20" s="11" t="s">
        <v>133</v>
      </c>
      <c r="D20" s="16" t="s">
        <v>246</v>
      </c>
      <c r="E20" s="11" t="s">
        <v>126</v>
      </c>
    </row>
    <row r="21" spans="1:5" x14ac:dyDescent="0.35">
      <c r="A21" s="12">
        <f>DATE(2026,6,13)</f>
        <v>46186</v>
      </c>
      <c r="B21" s="13" t="str">
        <f t="shared" si="0"/>
        <v>Sat</v>
      </c>
      <c r="C21" s="11" t="s">
        <v>138</v>
      </c>
      <c r="D21" s="11" t="s">
        <v>167</v>
      </c>
      <c r="E21" s="11" t="s">
        <v>126</v>
      </c>
    </row>
    <row r="22" spans="1:5" x14ac:dyDescent="0.35">
      <c r="A22" s="12">
        <f>DATE(2026,6,20)</f>
        <v>46193</v>
      </c>
      <c r="B22" s="13" t="str">
        <f t="shared" si="0"/>
        <v>Sat</v>
      </c>
      <c r="C22" s="11" t="s">
        <v>133</v>
      </c>
      <c r="D22" s="16" t="s">
        <v>246</v>
      </c>
      <c r="E22" s="11" t="s">
        <v>126</v>
      </c>
    </row>
    <row r="23" spans="1:5" x14ac:dyDescent="0.35">
      <c r="A23" s="12">
        <f>DATE(2026,7,3)</f>
        <v>46206</v>
      </c>
      <c r="B23" s="13" t="str">
        <f t="shared" si="0"/>
        <v>Fri</v>
      </c>
      <c r="C23" s="11" t="s">
        <v>168</v>
      </c>
      <c r="D23" s="11" t="s">
        <v>169</v>
      </c>
      <c r="E23" s="11" t="s">
        <v>129</v>
      </c>
    </row>
    <row r="24" spans="1:5" x14ac:dyDescent="0.35">
      <c r="A24" s="12">
        <f>DATE(2026,7,24)</f>
        <v>46227</v>
      </c>
      <c r="B24" s="13" t="str">
        <f t="shared" si="0"/>
        <v>Fri</v>
      </c>
      <c r="C24" s="11" t="s">
        <v>214</v>
      </c>
      <c r="D24" s="11" t="s">
        <v>215</v>
      </c>
      <c r="E24" s="11" t="s">
        <v>129</v>
      </c>
    </row>
    <row r="25" spans="1:5" x14ac:dyDescent="0.35">
      <c r="A25" s="12">
        <f>DATE(2026,7,24)</f>
        <v>46227</v>
      </c>
      <c r="B25" s="13" t="str">
        <f t="shared" si="0"/>
        <v>Fri</v>
      </c>
      <c r="C25" s="16" t="s">
        <v>133</v>
      </c>
      <c r="D25" s="16" t="s">
        <v>247</v>
      </c>
      <c r="E25" s="11" t="s">
        <v>126</v>
      </c>
    </row>
    <row r="26" spans="1:5" x14ac:dyDescent="0.35">
      <c r="A26" s="12">
        <f>DATE(2026,7,25)</f>
        <v>46228</v>
      </c>
      <c r="B26" s="13" t="str">
        <f t="shared" si="0"/>
        <v>Sat</v>
      </c>
      <c r="C26" s="16" t="s">
        <v>133</v>
      </c>
      <c r="D26" s="16" t="s">
        <v>247</v>
      </c>
      <c r="E26" s="11" t="s">
        <v>126</v>
      </c>
    </row>
    <row r="27" spans="1:5" x14ac:dyDescent="0.35">
      <c r="A27" s="12">
        <f>DATE(2026,8,1)</f>
        <v>46235</v>
      </c>
      <c r="B27" s="13" t="str">
        <f t="shared" si="0"/>
        <v>Sat</v>
      </c>
      <c r="C27" s="11" t="s">
        <v>243</v>
      </c>
      <c r="D27" s="11" t="s">
        <v>244</v>
      </c>
      <c r="E27" s="11" t="s">
        <v>129</v>
      </c>
    </row>
    <row r="28" spans="1:5" x14ac:dyDescent="0.35">
      <c r="A28" s="12">
        <f>DATE(2026,8,5)</f>
        <v>46239</v>
      </c>
      <c r="B28" s="13" t="str">
        <f t="shared" ref="B28:B38" si="1">TEXT($A28,"ddd")</f>
        <v>Wed</v>
      </c>
      <c r="C28" s="11" t="s">
        <v>256</v>
      </c>
      <c r="D28" s="16" t="s">
        <v>255</v>
      </c>
      <c r="E28" s="11" t="s">
        <v>126</v>
      </c>
    </row>
    <row r="29" spans="1:5" x14ac:dyDescent="0.35">
      <c r="A29" s="12">
        <f>DATE(2026,8,8)</f>
        <v>46242</v>
      </c>
      <c r="B29" s="13" t="str">
        <f t="shared" si="1"/>
        <v>Sat</v>
      </c>
      <c r="C29" s="11" t="s">
        <v>265</v>
      </c>
      <c r="D29" s="16" t="s">
        <v>238</v>
      </c>
      <c r="E29" s="11" t="s">
        <v>258</v>
      </c>
    </row>
    <row r="30" spans="1:5" x14ac:dyDescent="0.35">
      <c r="A30" s="12">
        <f>DATE(2026,8,14)</f>
        <v>46248</v>
      </c>
      <c r="B30" s="13" t="str">
        <f t="shared" si="1"/>
        <v>Fri</v>
      </c>
      <c r="C30" s="11" t="s">
        <v>266</v>
      </c>
      <c r="D30" s="16" t="s">
        <v>239</v>
      </c>
      <c r="E30" s="11" t="s">
        <v>258</v>
      </c>
    </row>
    <row r="31" spans="1:5" x14ac:dyDescent="0.35">
      <c r="A31" s="12">
        <f>DATE(2026,8,15)</f>
        <v>46249</v>
      </c>
      <c r="B31" s="13" t="str">
        <f t="shared" si="1"/>
        <v>Sat</v>
      </c>
      <c r="C31" s="11" t="s">
        <v>267</v>
      </c>
      <c r="D31" s="16" t="s">
        <v>248</v>
      </c>
      <c r="E31" s="11" t="s">
        <v>279</v>
      </c>
    </row>
    <row r="32" spans="1:5" x14ac:dyDescent="0.35">
      <c r="A32" s="12">
        <f>DATE(2026,8,23)</f>
        <v>46257</v>
      </c>
      <c r="B32" s="13" t="str">
        <f t="shared" si="1"/>
        <v>Sun</v>
      </c>
      <c r="C32" s="11" t="s">
        <v>268</v>
      </c>
      <c r="D32" s="11" t="s">
        <v>236</v>
      </c>
      <c r="E32" s="11" t="s">
        <v>258</v>
      </c>
    </row>
    <row r="33" spans="1:7" x14ac:dyDescent="0.35">
      <c r="A33" s="12">
        <f>DATE(2026,8,26)</f>
        <v>46260</v>
      </c>
      <c r="B33" s="13" t="str">
        <f t="shared" si="1"/>
        <v>Wed</v>
      </c>
      <c r="C33" s="11" t="s">
        <v>269</v>
      </c>
      <c r="D33" t="s">
        <v>249</v>
      </c>
      <c r="E33" s="11" t="s">
        <v>258</v>
      </c>
    </row>
    <row r="34" spans="1:7" x14ac:dyDescent="0.35">
      <c r="A34" s="12">
        <f>DATE(2026,8,28)</f>
        <v>46262</v>
      </c>
      <c r="B34" s="13" t="str">
        <f>TEXT($A34,"ddd")</f>
        <v>Fri</v>
      </c>
      <c r="C34" s="11" t="s">
        <v>170</v>
      </c>
      <c r="D34" s="11" t="s">
        <v>171</v>
      </c>
      <c r="E34" s="11" t="s">
        <v>129</v>
      </c>
    </row>
    <row r="35" spans="1:7" x14ac:dyDescent="0.35">
      <c r="A35" s="12">
        <f>DATE(2026,8,29)</f>
        <v>46263</v>
      </c>
      <c r="B35" s="13" t="str">
        <f t="shared" si="1"/>
        <v>Sat</v>
      </c>
      <c r="C35" s="11" t="s">
        <v>270</v>
      </c>
      <c r="D35" s="11" t="s">
        <v>250</v>
      </c>
      <c r="E35" s="11" t="s">
        <v>258</v>
      </c>
    </row>
    <row r="36" spans="1:7" x14ac:dyDescent="0.35">
      <c r="A36" s="12">
        <f>DATE(2026,9,1)</f>
        <v>46266</v>
      </c>
      <c r="B36" s="13" t="str">
        <f t="shared" si="1"/>
        <v>Tue</v>
      </c>
      <c r="C36" s="11" t="s">
        <v>271</v>
      </c>
      <c r="D36" s="16" t="s">
        <v>251</v>
      </c>
      <c r="E36" s="11" t="s">
        <v>258</v>
      </c>
    </row>
    <row r="37" spans="1:7" x14ac:dyDescent="0.35">
      <c r="A37" s="12">
        <f>DATE(2026,9,3)</f>
        <v>46268</v>
      </c>
      <c r="B37" s="13" t="str">
        <f t="shared" si="1"/>
        <v>Thu</v>
      </c>
      <c r="C37" s="11" t="s">
        <v>272</v>
      </c>
      <c r="D37" s="11" t="s">
        <v>237</v>
      </c>
      <c r="E37" s="11" t="s">
        <v>258</v>
      </c>
    </row>
    <row r="38" spans="1:7" x14ac:dyDescent="0.35">
      <c r="A38" s="12">
        <f>DATE(2026,9,3)</f>
        <v>46268</v>
      </c>
      <c r="B38" s="13" t="str">
        <f t="shared" si="1"/>
        <v>Thu</v>
      </c>
      <c r="C38" s="11" t="s">
        <v>273</v>
      </c>
      <c r="D38" s="16" t="s">
        <v>240</v>
      </c>
      <c r="E38" s="11" t="s">
        <v>258</v>
      </c>
    </row>
    <row r="39" spans="1:7" x14ac:dyDescent="0.35">
      <c r="A39" s="12">
        <f>DATE(2026,9,5)</f>
        <v>46270</v>
      </c>
      <c r="B39" s="13" t="str">
        <f>TEXT($A39,"ddd")</f>
        <v>Sat</v>
      </c>
      <c r="C39" s="11" t="s">
        <v>274</v>
      </c>
      <c r="D39" s="11" t="s">
        <v>252</v>
      </c>
      <c r="E39" s="11" t="s">
        <v>258</v>
      </c>
    </row>
    <row r="40" spans="1:7" x14ac:dyDescent="0.35">
      <c r="A40" s="12">
        <f>DATE(2026,9,5)</f>
        <v>46270</v>
      </c>
      <c r="B40" s="13" t="str">
        <f t="shared" si="0"/>
        <v>Sat</v>
      </c>
      <c r="C40" s="11" t="s">
        <v>172</v>
      </c>
      <c r="D40" s="11" t="s">
        <v>173</v>
      </c>
      <c r="E40" s="11" t="s">
        <v>129</v>
      </c>
    </row>
    <row r="41" spans="1:7" x14ac:dyDescent="0.35">
      <c r="A41" s="12">
        <f>DATE(2026,9,7)</f>
        <v>46272</v>
      </c>
      <c r="B41" s="13" t="str">
        <f>TEXT($A41,"ddd")</f>
        <v>Mon</v>
      </c>
      <c r="C41" s="11" t="s">
        <v>275</v>
      </c>
      <c r="D41" s="16" t="s">
        <v>241</v>
      </c>
      <c r="E41" s="11" t="s">
        <v>258</v>
      </c>
    </row>
    <row r="42" spans="1:7" x14ac:dyDescent="0.35">
      <c r="A42" s="12">
        <f>DATE(2026,9,8)</f>
        <v>46273</v>
      </c>
      <c r="B42" s="13" t="str">
        <f>TEXT($A42,"ddd")</f>
        <v>Tue</v>
      </c>
      <c r="C42" s="11" t="s">
        <v>276</v>
      </c>
      <c r="D42" s="16" t="s">
        <v>254</v>
      </c>
      <c r="E42" s="11" t="s">
        <v>258</v>
      </c>
    </row>
    <row r="43" spans="1:7" x14ac:dyDescent="0.35">
      <c r="A43" s="12">
        <f>DATE(2026,9,9)</f>
        <v>46274</v>
      </c>
      <c r="B43" s="13" t="str">
        <f>TEXT($A43,"ddd")</f>
        <v>Wed</v>
      </c>
      <c r="C43" s="16" t="s">
        <v>277</v>
      </c>
      <c r="D43" s="16" t="s">
        <v>253</v>
      </c>
      <c r="E43" s="11" t="s">
        <v>258</v>
      </c>
    </row>
    <row r="44" spans="1:7" x14ac:dyDescent="0.35">
      <c r="A44" s="12">
        <f>DATE(2026,9,18)</f>
        <v>46283</v>
      </c>
      <c r="B44" s="13" t="str">
        <f t="shared" si="0"/>
        <v>Fri</v>
      </c>
      <c r="C44" s="11" t="s">
        <v>278</v>
      </c>
      <c r="D44" s="11"/>
      <c r="E44" s="11" t="s">
        <v>279</v>
      </c>
    </row>
    <row r="45" spans="1:7" x14ac:dyDescent="0.35">
      <c r="A45" s="12">
        <f>DATE(2026,9,20)</f>
        <v>46285</v>
      </c>
      <c r="B45" s="13" t="str">
        <f t="shared" si="0"/>
        <v>Sun</v>
      </c>
      <c r="C45" s="11" t="s">
        <v>174</v>
      </c>
      <c r="D45" s="11" t="s">
        <v>175</v>
      </c>
      <c r="E45" s="11" t="s">
        <v>129</v>
      </c>
    </row>
    <row r="46" spans="1:7" x14ac:dyDescent="0.35">
      <c r="A46" s="12">
        <f>DATE(2026,10,9)</f>
        <v>46304</v>
      </c>
      <c r="B46" s="13" t="str">
        <f t="shared" si="0"/>
        <v>Fri</v>
      </c>
      <c r="C46" s="11" t="s">
        <v>262</v>
      </c>
      <c r="D46" s="11" t="s">
        <v>263</v>
      </c>
      <c r="E46" s="11" t="s">
        <v>129</v>
      </c>
    </row>
    <row r="47" spans="1:7" x14ac:dyDescent="0.35">
      <c r="A47" s="12">
        <f>DATE(2026,10,10)</f>
        <v>46305</v>
      </c>
      <c r="B47" s="13" t="str">
        <f t="shared" si="0"/>
        <v>Sat</v>
      </c>
      <c r="C47" s="11" t="s">
        <v>139</v>
      </c>
      <c r="D47" s="11" t="s">
        <v>176</v>
      </c>
      <c r="E47" s="11" t="s">
        <v>136</v>
      </c>
    </row>
    <row r="48" spans="1:7" x14ac:dyDescent="0.35">
      <c r="A48" s="12">
        <f>DATE(2026,10,12)</f>
        <v>46307</v>
      </c>
      <c r="B48" s="13" t="str">
        <f t="shared" si="0"/>
        <v>Mon</v>
      </c>
      <c r="C48" s="11" t="s">
        <v>211</v>
      </c>
      <c r="D48" s="11" t="s">
        <v>216</v>
      </c>
      <c r="E48" s="11" t="s">
        <v>258</v>
      </c>
      <c r="G48" s="19"/>
    </row>
    <row r="49" spans="1:5" x14ac:dyDescent="0.35">
      <c r="A49" s="12">
        <f>DATE(2026,10,13)</f>
        <v>46308</v>
      </c>
      <c r="B49" s="13" t="str">
        <f t="shared" si="0"/>
        <v>Tue</v>
      </c>
      <c r="C49" s="11" t="s">
        <v>212</v>
      </c>
      <c r="D49" s="11" t="s">
        <v>217</v>
      </c>
      <c r="E49" s="11" t="s">
        <v>258</v>
      </c>
    </row>
    <row r="50" spans="1:5" x14ac:dyDescent="0.35">
      <c r="A50" s="12">
        <f>DATE(2026,10,14)</f>
        <v>46309</v>
      </c>
      <c r="B50" s="13" t="str">
        <f t="shared" si="0"/>
        <v>Wed</v>
      </c>
      <c r="C50" s="11" t="s">
        <v>213</v>
      </c>
      <c r="D50" s="11" t="s">
        <v>218</v>
      </c>
      <c r="E50" s="11" t="s">
        <v>258</v>
      </c>
    </row>
    <row r="51" spans="1:5" x14ac:dyDescent="0.35">
      <c r="A51" s="12">
        <f>DATE(2026,10,31)</f>
        <v>46326</v>
      </c>
      <c r="B51" s="13" t="str">
        <f t="shared" ref="B51:B77" si="2">TEXT($A51,"ddd")</f>
        <v>Sat</v>
      </c>
      <c r="C51" s="16" t="s">
        <v>208</v>
      </c>
      <c r="D51" s="11" t="s">
        <v>219</v>
      </c>
      <c r="E51" s="11" t="s">
        <v>136</v>
      </c>
    </row>
    <row r="52" spans="1:5" x14ac:dyDescent="0.35">
      <c r="A52" s="12">
        <f>DATE(2026,11,3)</f>
        <v>46329</v>
      </c>
      <c r="B52" s="13" t="str">
        <f t="shared" si="2"/>
        <v>Tue</v>
      </c>
      <c r="C52" s="16" t="s">
        <v>180</v>
      </c>
      <c r="D52" s="11" t="s">
        <v>220</v>
      </c>
      <c r="E52" s="11" t="s">
        <v>126</v>
      </c>
    </row>
    <row r="53" spans="1:5" x14ac:dyDescent="0.35">
      <c r="A53" s="12">
        <f>DATE(2026,11,10)</f>
        <v>46336</v>
      </c>
      <c r="B53" s="13" t="str">
        <f t="shared" si="2"/>
        <v>Tue</v>
      </c>
      <c r="C53" s="16" t="s">
        <v>179</v>
      </c>
      <c r="D53" s="11" t="s">
        <v>221</v>
      </c>
      <c r="E53" s="11" t="s">
        <v>129</v>
      </c>
    </row>
    <row r="54" spans="1:5" x14ac:dyDescent="0.35">
      <c r="A54" s="12">
        <f>DATE(2026,12,16)</f>
        <v>46372</v>
      </c>
      <c r="B54" s="13" t="str">
        <f t="shared" si="2"/>
        <v>Wed</v>
      </c>
      <c r="C54" s="16" t="s">
        <v>178</v>
      </c>
      <c r="D54" s="16" t="s">
        <v>222</v>
      </c>
      <c r="E54" s="11" t="s">
        <v>136</v>
      </c>
    </row>
    <row r="55" spans="1:5" x14ac:dyDescent="0.35">
      <c r="A55" s="12">
        <f>DATE(2027,1,1)</f>
        <v>46388</v>
      </c>
      <c r="B55" s="13" t="str">
        <f t="shared" si="2"/>
        <v>Fri</v>
      </c>
      <c r="C55" s="16" t="s">
        <v>257</v>
      </c>
      <c r="D55" s="11" t="s">
        <v>223</v>
      </c>
      <c r="E55" s="11" t="s">
        <v>136</v>
      </c>
    </row>
    <row r="56" spans="1:5" x14ac:dyDescent="0.35">
      <c r="A56" s="12">
        <f>DATE(2027,1,30)</f>
        <v>46417</v>
      </c>
      <c r="B56" s="13" t="str">
        <f t="shared" si="2"/>
        <v>Sat</v>
      </c>
      <c r="C56" s="11" t="s">
        <v>181</v>
      </c>
      <c r="D56" s="11" t="s">
        <v>224</v>
      </c>
      <c r="E56" s="11" t="s">
        <v>126</v>
      </c>
    </row>
    <row r="57" spans="1:5" x14ac:dyDescent="0.35">
      <c r="A57" s="12">
        <f>DATE(2027,2,18)</f>
        <v>46436</v>
      </c>
      <c r="B57" s="13" t="str">
        <f t="shared" si="2"/>
        <v>Thu</v>
      </c>
      <c r="C57" s="11" t="s">
        <v>260</v>
      </c>
      <c r="D57" s="11" t="s">
        <v>261</v>
      </c>
      <c r="E57" s="11" t="s">
        <v>259</v>
      </c>
    </row>
    <row r="58" spans="1:5" x14ac:dyDescent="0.35">
      <c r="A58" s="12">
        <f>DATE(2027,3,19)</f>
        <v>46465</v>
      </c>
      <c r="B58" s="13" t="str">
        <f t="shared" si="2"/>
        <v>Fri</v>
      </c>
      <c r="C58" s="11" t="s">
        <v>182</v>
      </c>
      <c r="D58" s="11" t="s">
        <v>225</v>
      </c>
      <c r="E58" s="11" t="s">
        <v>129</v>
      </c>
    </row>
    <row r="59" spans="1:5" x14ac:dyDescent="0.35">
      <c r="A59" s="12">
        <f>DATE(2027,3,25)</f>
        <v>46471</v>
      </c>
      <c r="B59" s="13" t="str">
        <f t="shared" si="2"/>
        <v>Thu</v>
      </c>
      <c r="C59" s="11" t="s">
        <v>183</v>
      </c>
      <c r="D59" s="11" t="s">
        <v>226</v>
      </c>
      <c r="E59" s="11" t="s">
        <v>126</v>
      </c>
    </row>
    <row r="60" spans="1:5" x14ac:dyDescent="0.35">
      <c r="A60" s="12">
        <f>DATE(2027,4,3)</f>
        <v>46480</v>
      </c>
      <c r="B60" s="13" t="str">
        <f t="shared" si="2"/>
        <v>Sat</v>
      </c>
      <c r="C60" s="16" t="s">
        <v>242</v>
      </c>
      <c r="D60" s="11" t="s">
        <v>227</v>
      </c>
      <c r="E60" s="11" t="s">
        <v>259</v>
      </c>
    </row>
    <row r="61" spans="1:5" x14ac:dyDescent="0.35">
      <c r="A61" s="12">
        <f>DATE(2027,4,9)</f>
        <v>46486</v>
      </c>
      <c r="B61" s="13" t="str">
        <f t="shared" si="2"/>
        <v>Fri</v>
      </c>
      <c r="C61" s="11" t="s">
        <v>182</v>
      </c>
      <c r="D61" s="11" t="s">
        <v>225</v>
      </c>
      <c r="E61" s="11" t="s">
        <v>129</v>
      </c>
    </row>
    <row r="62" spans="1:5" x14ac:dyDescent="0.35">
      <c r="A62" s="12">
        <f>DATE(2027,5,19)</f>
        <v>46526</v>
      </c>
      <c r="B62" s="13" t="str">
        <f t="shared" si="2"/>
        <v>Wed</v>
      </c>
      <c r="C62" s="11" t="s">
        <v>184</v>
      </c>
      <c r="D62" s="11" t="s">
        <v>228</v>
      </c>
      <c r="E62" s="11" t="s">
        <v>258</v>
      </c>
    </row>
    <row r="63" spans="1:5" x14ac:dyDescent="0.35">
      <c r="A63" s="12">
        <f>DATE(2027,5,20)</f>
        <v>46527</v>
      </c>
      <c r="B63" s="13" t="str">
        <f t="shared" si="2"/>
        <v>Thu</v>
      </c>
      <c r="C63" s="11" t="s">
        <v>185</v>
      </c>
      <c r="D63" s="11" t="s">
        <v>229</v>
      </c>
      <c r="E63" s="11" t="s">
        <v>258</v>
      </c>
    </row>
    <row r="64" spans="1:5" x14ac:dyDescent="0.35">
      <c r="A64" s="12">
        <f>DATE(2027,5,21)</f>
        <v>46528</v>
      </c>
      <c r="B64" s="13" t="str">
        <f t="shared" si="2"/>
        <v>Fri</v>
      </c>
      <c r="C64" s="11" t="s">
        <v>186</v>
      </c>
      <c r="D64" s="11" t="s">
        <v>230</v>
      </c>
      <c r="E64" s="11" t="s">
        <v>258</v>
      </c>
    </row>
    <row r="65" spans="1:5" x14ac:dyDescent="0.35">
      <c r="A65" s="12">
        <f>DATE(2027,5,28)</f>
        <v>46535</v>
      </c>
      <c r="B65" s="13" t="str">
        <f t="shared" si="2"/>
        <v>Fri</v>
      </c>
      <c r="C65" s="11" t="s">
        <v>187</v>
      </c>
      <c r="D65" s="11" t="s">
        <v>231</v>
      </c>
      <c r="E65" s="11" t="s">
        <v>126</v>
      </c>
    </row>
    <row r="66" spans="1:5" x14ac:dyDescent="0.35">
      <c r="A66" s="12">
        <f>DATE(2027,6,11)</f>
        <v>46549</v>
      </c>
      <c r="B66" s="13" t="str">
        <f t="shared" si="2"/>
        <v>Fri</v>
      </c>
      <c r="C66" s="11" t="s">
        <v>182</v>
      </c>
      <c r="D66" s="11" t="s">
        <v>225</v>
      </c>
      <c r="E66" s="11" t="s">
        <v>129</v>
      </c>
    </row>
    <row r="67" spans="1:5" x14ac:dyDescent="0.35">
      <c r="A67" s="12">
        <f>DATE(2027,7,9)</f>
        <v>46577</v>
      </c>
      <c r="B67" s="13" t="str">
        <f t="shared" si="2"/>
        <v>Fri</v>
      </c>
      <c r="C67" s="11" t="s">
        <v>182</v>
      </c>
      <c r="D67" s="11" t="s">
        <v>225</v>
      </c>
      <c r="E67" s="11" t="s">
        <v>129</v>
      </c>
    </row>
    <row r="68" spans="1:5" x14ac:dyDescent="0.35">
      <c r="A68" s="12">
        <f>DATE(2027,7,30)</f>
        <v>46598</v>
      </c>
      <c r="B68" s="13" t="str">
        <f t="shared" si="2"/>
        <v>Fri</v>
      </c>
      <c r="C68" s="11" t="s">
        <v>188</v>
      </c>
      <c r="D68" s="11" t="s">
        <v>232</v>
      </c>
      <c r="E68" s="11" t="s">
        <v>129</v>
      </c>
    </row>
    <row r="69" spans="1:5" x14ac:dyDescent="0.35">
      <c r="A69" s="12">
        <f>DATE(2027,8,16)</f>
        <v>46615</v>
      </c>
      <c r="B69" s="13" t="str">
        <f t="shared" si="2"/>
        <v>Mon</v>
      </c>
      <c r="C69" s="11" t="s">
        <v>189</v>
      </c>
      <c r="D69" s="11" t="s">
        <v>233</v>
      </c>
      <c r="E69" s="11" t="s">
        <v>258</v>
      </c>
    </row>
    <row r="70" spans="1:5" x14ac:dyDescent="0.35">
      <c r="A70" s="12">
        <f>DATE(2027,8,20)</f>
        <v>46619</v>
      </c>
      <c r="B70" s="13" t="str">
        <f t="shared" si="2"/>
        <v>Fri</v>
      </c>
      <c r="C70" s="11" t="s">
        <v>190</v>
      </c>
      <c r="D70" s="11" t="s">
        <v>234</v>
      </c>
      <c r="E70" s="11" t="s">
        <v>129</v>
      </c>
    </row>
    <row r="71" spans="1:5" x14ac:dyDescent="0.35">
      <c r="A71" s="12">
        <f>DATE(2027,9,10)</f>
        <v>46640</v>
      </c>
      <c r="B71" s="13" t="str">
        <f t="shared" si="2"/>
        <v>Fri</v>
      </c>
      <c r="C71" s="11" t="s">
        <v>182</v>
      </c>
      <c r="D71" s="11" t="s">
        <v>225</v>
      </c>
      <c r="E71" s="11" t="s">
        <v>129</v>
      </c>
    </row>
    <row r="72" spans="1:5" x14ac:dyDescent="0.35">
      <c r="A72" s="12">
        <f>DATE(2027,9,18)</f>
        <v>46648</v>
      </c>
      <c r="B72" s="13" t="str">
        <f t="shared" si="2"/>
        <v>Sat</v>
      </c>
      <c r="C72" s="11" t="s">
        <v>191</v>
      </c>
      <c r="D72" s="11" t="s">
        <v>235</v>
      </c>
      <c r="E72" s="11" t="s">
        <v>136</v>
      </c>
    </row>
    <row r="73" spans="1:5" x14ac:dyDescent="0.35">
      <c r="A73" s="12">
        <f>DATE(2027,10,1)</f>
        <v>46661</v>
      </c>
      <c r="B73" s="13" t="str">
        <f t="shared" si="2"/>
        <v>Fri</v>
      </c>
      <c r="C73" s="11" t="s">
        <v>182</v>
      </c>
      <c r="D73" s="11" t="s">
        <v>225</v>
      </c>
      <c r="E73" s="11" t="s">
        <v>129</v>
      </c>
    </row>
    <row r="74" spans="1:5" x14ac:dyDescent="0.35">
      <c r="A74" s="12">
        <f>DATE(2027,10,15)</f>
        <v>46675</v>
      </c>
      <c r="B74" s="13" t="str">
        <f t="shared" si="2"/>
        <v>Fri</v>
      </c>
      <c r="C74" s="11" t="s">
        <v>182</v>
      </c>
      <c r="D74" s="11" t="s">
        <v>225</v>
      </c>
      <c r="E74" s="11" t="s">
        <v>129</v>
      </c>
    </row>
    <row r="75" spans="1:5" x14ac:dyDescent="0.35">
      <c r="A75" s="12">
        <f>DATE(2027,11,12)</f>
        <v>46703</v>
      </c>
      <c r="B75" s="13" t="str">
        <f t="shared" si="2"/>
        <v>Fri</v>
      </c>
      <c r="C75" s="11" t="s">
        <v>182</v>
      </c>
      <c r="D75" s="11" t="s">
        <v>225</v>
      </c>
      <c r="E75" s="11" t="s">
        <v>129</v>
      </c>
    </row>
    <row r="76" spans="1:5" x14ac:dyDescent="0.35">
      <c r="A76" s="12">
        <f>DATE(2027,11,26)</f>
        <v>46717</v>
      </c>
      <c r="B76" s="13" t="str">
        <f t="shared" si="2"/>
        <v>Fri</v>
      </c>
      <c r="C76" s="11" t="s">
        <v>182</v>
      </c>
      <c r="D76" s="11" t="s">
        <v>225</v>
      </c>
      <c r="E76" s="11" t="s">
        <v>129</v>
      </c>
    </row>
    <row r="77" spans="1:5" x14ac:dyDescent="0.35">
      <c r="A77" s="12">
        <f>DATE(2027,12,16)</f>
        <v>46737</v>
      </c>
      <c r="B77" s="13" t="str">
        <f t="shared" si="2"/>
        <v>Thu</v>
      </c>
      <c r="C77" s="11" t="s">
        <v>178</v>
      </c>
      <c r="D77" s="16" t="s">
        <v>222</v>
      </c>
      <c r="E77" s="11" t="s">
        <v>136</v>
      </c>
    </row>
  </sheetData>
  <autoFilter ref="A1:E77" xr:uid="{00000000-0001-0000-0400-000000000000}">
    <filterColumn colId="2">
      <iconFilter iconSet="3Arrows"/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C20" sqref="C20"/>
    </sheetView>
  </sheetViews>
  <sheetFormatPr defaultRowHeight="14.5" x14ac:dyDescent="0.35"/>
  <cols>
    <col min="1" max="1" width="6" customWidth="1"/>
    <col min="2" max="2" width="30" customWidth="1"/>
    <col min="3" max="3" width="16" customWidth="1"/>
    <col min="4" max="4" width="22" customWidth="1"/>
  </cols>
  <sheetData>
    <row r="1" spans="1:4" ht="15" thickBot="1" x14ac:dyDescent="0.4">
      <c r="A1" s="3" t="s">
        <v>19</v>
      </c>
      <c r="B1" s="3" t="s">
        <v>20</v>
      </c>
      <c r="C1" s="3" t="s">
        <v>21</v>
      </c>
      <c r="D1" s="3" t="s">
        <v>22</v>
      </c>
    </row>
    <row r="2" spans="1:4" ht="15" thickBot="1" x14ac:dyDescent="0.4">
      <c r="A2" s="4">
        <v>1</v>
      </c>
      <c r="B2" s="5" t="s">
        <v>38</v>
      </c>
      <c r="C2" s="6" t="s">
        <v>39</v>
      </c>
      <c r="D2" s="4" t="s">
        <v>86</v>
      </c>
    </row>
    <row r="3" spans="1:4" ht="15" thickBot="1" x14ac:dyDescent="0.4">
      <c r="A3" s="4">
        <v>2</v>
      </c>
      <c r="B3" s="7" t="s">
        <v>40</v>
      </c>
      <c r="C3" s="8" t="s">
        <v>41</v>
      </c>
      <c r="D3" s="4" t="s">
        <v>87</v>
      </c>
    </row>
    <row r="4" spans="1:4" ht="15" thickBot="1" x14ac:dyDescent="0.4">
      <c r="A4" s="4">
        <v>3</v>
      </c>
      <c r="B4" s="7" t="s">
        <v>42</v>
      </c>
      <c r="C4" s="8" t="s">
        <v>43</v>
      </c>
      <c r="D4" s="4" t="s">
        <v>96</v>
      </c>
    </row>
    <row r="5" spans="1:4" ht="15" thickBot="1" x14ac:dyDescent="0.4">
      <c r="A5" s="4">
        <v>4</v>
      </c>
      <c r="B5" s="7" t="s">
        <v>44</v>
      </c>
      <c r="C5" s="8" t="s">
        <v>45</v>
      </c>
      <c r="D5" s="4" t="s">
        <v>88</v>
      </c>
    </row>
    <row r="6" spans="1:4" ht="15" thickBot="1" x14ac:dyDescent="0.4">
      <c r="A6" s="4">
        <v>5</v>
      </c>
      <c r="B6" s="7" t="s">
        <v>46</v>
      </c>
      <c r="C6" s="8" t="s">
        <v>47</v>
      </c>
      <c r="D6" s="4" t="s">
        <v>89</v>
      </c>
    </row>
    <row r="7" spans="1:4" ht="15" thickBot="1" x14ac:dyDescent="0.4">
      <c r="A7" s="4">
        <v>6</v>
      </c>
      <c r="B7" s="7" t="s">
        <v>48</v>
      </c>
      <c r="C7" s="8" t="s">
        <v>49</v>
      </c>
      <c r="D7" s="4" t="s">
        <v>99</v>
      </c>
    </row>
    <row r="8" spans="1:4" ht="15" thickBot="1" x14ac:dyDescent="0.4">
      <c r="A8" s="4">
        <v>7</v>
      </c>
      <c r="B8" s="7" t="s">
        <v>50</v>
      </c>
      <c r="C8" s="8" t="s">
        <v>51</v>
      </c>
      <c r="D8" s="4" t="s">
        <v>105</v>
      </c>
    </row>
    <row r="9" spans="1:4" ht="15" thickBot="1" x14ac:dyDescent="0.4">
      <c r="A9" s="4">
        <v>8</v>
      </c>
      <c r="B9" s="7" t="s">
        <v>52</v>
      </c>
      <c r="C9" s="8" t="s">
        <v>53</v>
      </c>
      <c r="D9" s="4" t="s">
        <v>90</v>
      </c>
    </row>
    <row r="10" spans="1:4" ht="15" thickBot="1" x14ac:dyDescent="0.4">
      <c r="A10" s="4">
        <v>9</v>
      </c>
      <c r="B10" s="7" t="s">
        <v>54</v>
      </c>
      <c r="C10" s="8" t="s">
        <v>55</v>
      </c>
      <c r="D10" s="4" t="s">
        <v>85</v>
      </c>
    </row>
    <row r="11" spans="1:4" ht="15" thickBot="1" x14ac:dyDescent="0.4">
      <c r="A11" s="4">
        <v>10</v>
      </c>
      <c r="B11" s="7" t="s">
        <v>56</v>
      </c>
      <c r="C11" s="8" t="s">
        <v>57</v>
      </c>
      <c r="D11" s="4" t="s">
        <v>91</v>
      </c>
    </row>
    <row r="12" spans="1:4" ht="25.5" thickBot="1" x14ac:dyDescent="0.4">
      <c r="A12" s="4">
        <v>11</v>
      </c>
      <c r="B12" s="7" t="s">
        <v>58</v>
      </c>
      <c r="C12" s="9"/>
      <c r="D12" s="4" t="s">
        <v>97</v>
      </c>
    </row>
    <row r="13" spans="1:4" ht="15" thickBot="1" x14ac:dyDescent="0.4">
      <c r="A13" s="4">
        <v>12</v>
      </c>
      <c r="B13" s="7" t="s">
        <v>59</v>
      </c>
      <c r="C13" s="9"/>
      <c r="D13" s="4" t="s">
        <v>106</v>
      </c>
    </row>
    <row r="14" spans="1:4" ht="15" thickBot="1" x14ac:dyDescent="0.4">
      <c r="A14" s="4">
        <v>13</v>
      </c>
      <c r="B14" s="7" t="s">
        <v>60</v>
      </c>
      <c r="C14" s="8" t="s">
        <v>61</v>
      </c>
      <c r="D14" s="4" t="s">
        <v>92</v>
      </c>
    </row>
    <row r="15" spans="1:4" ht="15" thickBot="1" x14ac:dyDescent="0.4">
      <c r="A15" s="4">
        <v>14</v>
      </c>
      <c r="B15" s="7" t="s">
        <v>62</v>
      </c>
      <c r="C15" s="8" t="s">
        <v>63</v>
      </c>
      <c r="D15" s="4" t="s">
        <v>100</v>
      </c>
    </row>
    <row r="16" spans="1:4" ht="15" thickBot="1" x14ac:dyDescent="0.4">
      <c r="A16" s="4">
        <v>15</v>
      </c>
      <c r="B16" s="7" t="s">
        <v>64</v>
      </c>
      <c r="C16" s="8" t="s">
        <v>65</v>
      </c>
      <c r="D16" s="4" t="s">
        <v>98</v>
      </c>
    </row>
    <row r="17" spans="1:4" ht="15" thickBot="1" x14ac:dyDescent="0.4">
      <c r="A17" s="4">
        <v>16</v>
      </c>
      <c r="B17" s="7" t="s">
        <v>192</v>
      </c>
      <c r="C17" s="8" t="s">
        <v>66</v>
      </c>
      <c r="D17" s="4" t="s">
        <v>108</v>
      </c>
    </row>
    <row r="18" spans="1:4" ht="15" thickBot="1" x14ac:dyDescent="0.4">
      <c r="A18" s="4">
        <v>17</v>
      </c>
      <c r="B18" s="7" t="s">
        <v>67</v>
      </c>
      <c r="C18" s="8" t="s">
        <v>68</v>
      </c>
      <c r="D18" s="4" t="s">
        <v>109</v>
      </c>
    </row>
    <row r="19" spans="1:4" ht="15" thickBot="1" x14ac:dyDescent="0.4">
      <c r="A19" s="4">
        <v>18</v>
      </c>
      <c r="B19" s="7" t="s">
        <v>69</v>
      </c>
      <c r="C19" s="8" t="s">
        <v>70</v>
      </c>
      <c r="D19" s="4" t="s">
        <v>93</v>
      </c>
    </row>
    <row r="20" spans="1:4" ht="15" thickBot="1" x14ac:dyDescent="0.4">
      <c r="A20" s="4">
        <v>19</v>
      </c>
      <c r="B20" s="7" t="s">
        <v>71</v>
      </c>
      <c r="C20" s="8" t="s">
        <v>72</v>
      </c>
      <c r="D20" s="4" t="s">
        <v>101</v>
      </c>
    </row>
    <row r="21" spans="1:4" ht="15" thickBot="1" x14ac:dyDescent="0.4">
      <c r="A21" s="4">
        <v>20</v>
      </c>
      <c r="B21" s="7" t="s">
        <v>73</v>
      </c>
      <c r="C21" s="8" t="s">
        <v>74</v>
      </c>
      <c r="D21" s="4" t="s">
        <v>102</v>
      </c>
    </row>
    <row r="22" spans="1:4" ht="15" thickBot="1" x14ac:dyDescent="0.4">
      <c r="A22" s="4">
        <v>21</v>
      </c>
      <c r="B22" s="7" t="s">
        <v>75</v>
      </c>
      <c r="C22" s="8" t="s">
        <v>76</v>
      </c>
      <c r="D22" s="4" t="s">
        <v>110</v>
      </c>
    </row>
    <row r="23" spans="1:4" ht="15" thickBot="1" x14ac:dyDescent="0.4">
      <c r="A23" s="4">
        <v>22</v>
      </c>
      <c r="B23" s="7" t="s">
        <v>77</v>
      </c>
      <c r="C23" s="8" t="s">
        <v>78</v>
      </c>
      <c r="D23" s="4" t="s">
        <v>103</v>
      </c>
    </row>
    <row r="24" spans="1:4" ht="15" thickBot="1" x14ac:dyDescent="0.4">
      <c r="A24" s="4">
        <v>23</v>
      </c>
      <c r="B24" s="7" t="s">
        <v>79</v>
      </c>
      <c r="C24" s="8" t="s">
        <v>80</v>
      </c>
      <c r="D24" s="4" t="s">
        <v>104</v>
      </c>
    </row>
    <row r="25" spans="1:4" ht="15" thickBot="1" x14ac:dyDescent="0.4">
      <c r="A25" s="4">
        <v>24</v>
      </c>
      <c r="B25" s="7" t="s">
        <v>81</v>
      </c>
      <c r="C25" s="8" t="s">
        <v>82</v>
      </c>
      <c r="D25" s="4" t="s">
        <v>94</v>
      </c>
    </row>
    <row r="26" spans="1:4" ht="15" thickBot="1" x14ac:dyDescent="0.4">
      <c r="A26" s="4">
        <v>25</v>
      </c>
      <c r="B26" s="7" t="s">
        <v>83</v>
      </c>
      <c r="C26" s="8" t="s">
        <v>84</v>
      </c>
      <c r="D26" s="4" t="s">
        <v>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7" sqref="E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" customWidth="1"/>
  </cols>
  <sheetData>
    <row r="1" spans="1:6" x14ac:dyDescent="0.35">
      <c r="A1" s="3" t="s">
        <v>19</v>
      </c>
      <c r="B1" s="3" t="s">
        <v>20</v>
      </c>
      <c r="C1" s="3" t="s">
        <v>21</v>
      </c>
      <c r="D1" s="3" t="s">
        <v>25</v>
      </c>
      <c r="E1" s="15" t="s">
        <v>177</v>
      </c>
      <c r="F1" s="3" t="s">
        <v>22</v>
      </c>
    </row>
    <row r="2" spans="1:6" x14ac:dyDescent="0.35">
      <c r="A2" s="4">
        <v>1</v>
      </c>
      <c r="B2" s="4" t="s">
        <v>54</v>
      </c>
      <c r="C2" s="4" t="s">
        <v>55</v>
      </c>
      <c r="D2" s="4" t="s">
        <v>23</v>
      </c>
      <c r="E2" s="4" t="s">
        <v>26</v>
      </c>
      <c r="F2" s="4" t="s">
        <v>115</v>
      </c>
    </row>
    <row r="3" spans="1:6" x14ac:dyDescent="0.35">
      <c r="A3" s="4">
        <v>2</v>
      </c>
      <c r="B3" s="4" t="s">
        <v>48</v>
      </c>
      <c r="C3" s="4" t="s">
        <v>49</v>
      </c>
      <c r="D3" s="4" t="s">
        <v>112</v>
      </c>
      <c r="E3" s="4" t="s">
        <v>111</v>
      </c>
      <c r="F3" s="4" t="s">
        <v>99</v>
      </c>
    </row>
    <row r="4" spans="1:6" x14ac:dyDescent="0.35">
      <c r="A4" s="4">
        <v>3</v>
      </c>
      <c r="B4" s="4" t="s">
        <v>42</v>
      </c>
      <c r="C4" s="4" t="s">
        <v>43</v>
      </c>
      <c r="D4" s="4" t="s">
        <v>114</v>
      </c>
      <c r="E4" s="4" t="s">
        <v>113</v>
      </c>
      <c r="F4" s="4" t="s">
        <v>96</v>
      </c>
    </row>
    <row r="5" spans="1:6" x14ac:dyDescent="0.35">
      <c r="A5" s="4">
        <v>4</v>
      </c>
      <c r="B5" s="4" t="s">
        <v>46</v>
      </c>
      <c r="C5" s="4" t="s">
        <v>47</v>
      </c>
      <c r="D5" s="4" t="s">
        <v>114</v>
      </c>
      <c r="E5" s="4" t="s">
        <v>113</v>
      </c>
      <c r="F5" s="4" t="s">
        <v>89</v>
      </c>
    </row>
    <row r="6" spans="1:6" x14ac:dyDescent="0.35">
      <c r="A6" s="4">
        <v>5</v>
      </c>
      <c r="B6" s="4" t="s">
        <v>50</v>
      </c>
      <c r="C6" s="4" t="s">
        <v>51</v>
      </c>
      <c r="D6" s="4" t="s">
        <v>114</v>
      </c>
      <c r="E6" s="4" t="s">
        <v>113</v>
      </c>
      <c r="F6" s="4" t="s">
        <v>105</v>
      </c>
    </row>
    <row r="7" spans="1:6" x14ac:dyDescent="0.35">
      <c r="A7" s="4">
        <v>6</v>
      </c>
      <c r="B7" s="4" t="s">
        <v>56</v>
      </c>
      <c r="C7" s="4" t="s">
        <v>57</v>
      </c>
      <c r="D7" s="4" t="s">
        <v>114</v>
      </c>
      <c r="E7" s="4" t="s">
        <v>113</v>
      </c>
      <c r="F7" s="4" t="s">
        <v>91</v>
      </c>
    </row>
    <row r="8" spans="1:6" x14ac:dyDescent="0.35">
      <c r="A8" s="4">
        <v>7</v>
      </c>
      <c r="B8" s="4" t="s">
        <v>69</v>
      </c>
      <c r="C8" s="4" t="s">
        <v>70</v>
      </c>
      <c r="D8" s="4" t="s">
        <v>114</v>
      </c>
      <c r="E8" s="4" t="s">
        <v>113</v>
      </c>
      <c r="F8" s="4" t="s">
        <v>93</v>
      </c>
    </row>
    <row r="9" spans="1:6" x14ac:dyDescent="0.35">
      <c r="A9" s="14">
        <v>8</v>
      </c>
      <c r="B9" t="s">
        <v>79</v>
      </c>
      <c r="C9" t="s">
        <v>80</v>
      </c>
      <c r="D9" s="14" t="s">
        <v>116</v>
      </c>
      <c r="E9" s="14" t="s">
        <v>120</v>
      </c>
      <c r="F9" t="s">
        <v>104</v>
      </c>
    </row>
    <row r="10" spans="1:6" x14ac:dyDescent="0.35">
      <c r="A10" s="14">
        <v>9</v>
      </c>
      <c r="B10" t="s">
        <v>75</v>
      </c>
      <c r="C10" t="s">
        <v>76</v>
      </c>
      <c r="D10" s="14" t="s">
        <v>117</v>
      </c>
      <c r="E10" s="14" t="s">
        <v>121</v>
      </c>
      <c r="F10" t="s">
        <v>110</v>
      </c>
    </row>
    <row r="11" spans="1:6" x14ac:dyDescent="0.35">
      <c r="A11" s="14">
        <v>10</v>
      </c>
      <c r="B11" t="s">
        <v>73</v>
      </c>
      <c r="C11" t="s">
        <v>74</v>
      </c>
      <c r="D11" s="14" t="s">
        <v>118</v>
      </c>
      <c r="E11" s="14" t="s">
        <v>122</v>
      </c>
      <c r="F11" t="s">
        <v>102</v>
      </c>
    </row>
    <row r="12" spans="1:6" x14ac:dyDescent="0.35">
      <c r="A12" s="14">
        <v>11</v>
      </c>
      <c r="B12" t="s">
        <v>67</v>
      </c>
      <c r="C12" t="s">
        <v>68</v>
      </c>
      <c r="D12" s="14" t="s">
        <v>119</v>
      </c>
      <c r="E12" s="14" t="s">
        <v>123</v>
      </c>
      <c r="F12" t="s">
        <v>109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G13" sqref="G13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.08984375" bestFit="1" customWidth="1"/>
    <col min="6" max="6" width="12.7265625" bestFit="1" customWidth="1"/>
    <col min="7" max="7" width="5.90625" bestFit="1" customWidth="1"/>
  </cols>
  <sheetData>
    <row r="1" spans="1:7" x14ac:dyDescent="0.35">
      <c r="A1" s="10" t="s">
        <v>27</v>
      </c>
      <c r="B1" s="10" t="s">
        <v>28</v>
      </c>
      <c r="C1" s="10" t="s">
        <v>24</v>
      </c>
      <c r="D1" s="10" t="s">
        <v>20</v>
      </c>
      <c r="E1" s="10" t="s">
        <v>21</v>
      </c>
      <c r="F1" s="10" t="s">
        <v>25</v>
      </c>
      <c r="G1" s="10" t="s">
        <v>22</v>
      </c>
    </row>
    <row r="2" spans="1:7" x14ac:dyDescent="0.35">
      <c r="A2" s="16" t="s">
        <v>193</v>
      </c>
      <c r="B2" s="16" t="s">
        <v>194</v>
      </c>
      <c r="C2" s="17">
        <v>1</v>
      </c>
      <c r="D2" s="16" t="s">
        <v>42</v>
      </c>
      <c r="E2" s="16" t="s">
        <v>43</v>
      </c>
      <c r="F2" s="16" t="s">
        <v>29</v>
      </c>
      <c r="G2" s="16" t="s">
        <v>96</v>
      </c>
    </row>
    <row r="3" spans="1:7" x14ac:dyDescent="0.35">
      <c r="A3" s="16" t="s">
        <v>193</v>
      </c>
      <c r="B3" s="16" t="s">
        <v>194</v>
      </c>
      <c r="C3" s="17">
        <v>2</v>
      </c>
      <c r="D3" s="16" t="s">
        <v>59</v>
      </c>
      <c r="E3" s="16"/>
      <c r="F3" s="16" t="s">
        <v>30</v>
      </c>
      <c r="G3" s="16" t="s">
        <v>106</v>
      </c>
    </row>
    <row r="4" spans="1:7" x14ac:dyDescent="0.35">
      <c r="A4" s="16" t="s">
        <v>193</v>
      </c>
      <c r="B4" s="16" t="s">
        <v>194</v>
      </c>
      <c r="C4" s="17">
        <v>3</v>
      </c>
      <c r="D4" s="16" t="s">
        <v>192</v>
      </c>
      <c r="E4" s="16" t="s">
        <v>66</v>
      </c>
      <c r="F4" s="16" t="s">
        <v>30</v>
      </c>
      <c r="G4" s="16" t="s">
        <v>108</v>
      </c>
    </row>
    <row r="5" spans="1:7" x14ac:dyDescent="0.35">
      <c r="A5" s="16" t="s">
        <v>193</v>
      </c>
      <c r="B5" s="16" t="s">
        <v>194</v>
      </c>
      <c r="C5" s="17">
        <v>4</v>
      </c>
      <c r="D5" s="16" t="s">
        <v>58</v>
      </c>
      <c r="E5" s="16"/>
      <c r="F5" s="16" t="s">
        <v>30</v>
      </c>
      <c r="G5" s="16" t="s">
        <v>97</v>
      </c>
    </row>
    <row r="6" spans="1:7" x14ac:dyDescent="0.35">
      <c r="A6" s="16" t="s">
        <v>193</v>
      </c>
      <c r="B6" s="16" t="s">
        <v>194</v>
      </c>
      <c r="C6" s="17">
        <v>5</v>
      </c>
      <c r="D6" s="16" t="s">
        <v>67</v>
      </c>
      <c r="E6" s="16" t="s">
        <v>68</v>
      </c>
      <c r="F6" s="16" t="s">
        <v>30</v>
      </c>
      <c r="G6" s="16" t="s">
        <v>109</v>
      </c>
    </row>
    <row r="7" spans="1:7" x14ac:dyDescent="0.35">
      <c r="A7" s="16" t="s">
        <v>195</v>
      </c>
      <c r="B7" s="16" t="s">
        <v>196</v>
      </c>
      <c r="C7" s="17">
        <v>1</v>
      </c>
      <c r="D7" s="16" t="s">
        <v>71</v>
      </c>
      <c r="E7" s="16" t="s">
        <v>72</v>
      </c>
      <c r="F7" s="16" t="s">
        <v>29</v>
      </c>
      <c r="G7" s="16" t="s">
        <v>101</v>
      </c>
    </row>
    <row r="8" spans="1:7" x14ac:dyDescent="0.35">
      <c r="A8" s="16" t="s">
        <v>195</v>
      </c>
      <c r="B8" s="16" t="s">
        <v>196</v>
      </c>
      <c r="C8" s="17">
        <v>2</v>
      </c>
      <c r="D8" s="16" t="s">
        <v>52</v>
      </c>
      <c r="E8" s="16" t="s">
        <v>53</v>
      </c>
      <c r="F8" s="16" t="s">
        <v>30</v>
      </c>
      <c r="G8" s="16" t="s">
        <v>90</v>
      </c>
    </row>
    <row r="9" spans="1:7" x14ac:dyDescent="0.35">
      <c r="A9" s="16" t="s">
        <v>197</v>
      </c>
      <c r="B9" s="16" t="s">
        <v>198</v>
      </c>
      <c r="C9" s="17">
        <v>1</v>
      </c>
      <c r="D9" s="16" t="s">
        <v>77</v>
      </c>
      <c r="E9" s="16" t="s">
        <v>78</v>
      </c>
      <c r="F9" s="16" t="s">
        <v>29</v>
      </c>
      <c r="G9" s="16" t="s">
        <v>103</v>
      </c>
    </row>
    <row r="10" spans="1:7" x14ac:dyDescent="0.35">
      <c r="A10" s="16" t="s">
        <v>197</v>
      </c>
      <c r="B10" s="16" t="s">
        <v>198</v>
      </c>
      <c r="C10" s="17">
        <v>2</v>
      </c>
      <c r="D10" s="16" t="s">
        <v>81</v>
      </c>
      <c r="E10" s="16" t="s">
        <v>82</v>
      </c>
      <c r="F10" s="16" t="s">
        <v>30</v>
      </c>
      <c r="G10" s="16" t="s">
        <v>94</v>
      </c>
    </row>
    <row r="11" spans="1:7" x14ac:dyDescent="0.35">
      <c r="A11" s="16" t="s">
        <v>199</v>
      </c>
      <c r="B11" s="16" t="s">
        <v>200</v>
      </c>
      <c r="C11" s="17">
        <v>1</v>
      </c>
      <c r="D11" s="16" t="s">
        <v>60</v>
      </c>
      <c r="E11" s="16" t="s">
        <v>61</v>
      </c>
      <c r="F11" s="16" t="s">
        <v>29</v>
      </c>
      <c r="G11" s="16" t="s">
        <v>92</v>
      </c>
    </row>
    <row r="12" spans="1:7" x14ac:dyDescent="0.35">
      <c r="A12" s="16" t="s">
        <v>199</v>
      </c>
      <c r="B12" s="16" t="s">
        <v>200</v>
      </c>
      <c r="C12" s="17">
        <v>2</v>
      </c>
      <c r="D12" s="16" t="s">
        <v>62</v>
      </c>
      <c r="E12" s="16" t="s">
        <v>63</v>
      </c>
      <c r="F12" s="16" t="s">
        <v>30</v>
      </c>
      <c r="G12" s="16" t="s">
        <v>100</v>
      </c>
    </row>
    <row r="13" spans="1:7" x14ac:dyDescent="0.35">
      <c r="A13" s="16" t="s">
        <v>199</v>
      </c>
      <c r="B13" s="16" t="s">
        <v>200</v>
      </c>
      <c r="C13" s="17">
        <v>3</v>
      </c>
      <c r="D13" s="16" t="s">
        <v>40</v>
      </c>
      <c r="E13" s="16" t="s">
        <v>41</v>
      </c>
      <c r="F13" s="16" t="s">
        <v>30</v>
      </c>
      <c r="G13" s="16" t="s">
        <v>87</v>
      </c>
    </row>
    <row r="14" spans="1:7" x14ac:dyDescent="0.35">
      <c r="A14" s="16" t="s">
        <v>199</v>
      </c>
      <c r="B14" s="16" t="s">
        <v>200</v>
      </c>
      <c r="C14" s="17">
        <v>4</v>
      </c>
      <c r="D14" s="16" t="s">
        <v>38</v>
      </c>
      <c r="E14" s="16" t="s">
        <v>39</v>
      </c>
      <c r="F14" s="16" t="s">
        <v>30</v>
      </c>
      <c r="G14" s="16" t="s">
        <v>86</v>
      </c>
    </row>
    <row r="15" spans="1:7" x14ac:dyDescent="0.35">
      <c r="A15" s="16" t="s">
        <v>201</v>
      </c>
      <c r="B15" s="16" t="s">
        <v>202</v>
      </c>
      <c r="C15" s="17">
        <v>1</v>
      </c>
      <c r="D15" s="16" t="s">
        <v>44</v>
      </c>
      <c r="E15" s="16" t="s">
        <v>45</v>
      </c>
      <c r="F15" s="16" t="s">
        <v>29</v>
      </c>
      <c r="G15" s="16" t="s">
        <v>88</v>
      </c>
    </row>
    <row r="16" spans="1:7" x14ac:dyDescent="0.35">
      <c r="A16" s="16" t="s">
        <v>201</v>
      </c>
      <c r="B16" s="16" t="s">
        <v>202</v>
      </c>
      <c r="C16" s="17">
        <v>2</v>
      </c>
      <c r="D16" s="16" t="s">
        <v>83</v>
      </c>
      <c r="E16" s="16" t="s">
        <v>84</v>
      </c>
      <c r="F16" s="16" t="s">
        <v>30</v>
      </c>
      <c r="G16" s="16" t="s">
        <v>95</v>
      </c>
    </row>
    <row r="17" spans="1:7" ht="15" thickBot="1" x14ac:dyDescent="0.4">
      <c r="A17" s="16" t="s">
        <v>203</v>
      </c>
      <c r="B17" s="16" t="s">
        <v>204</v>
      </c>
      <c r="C17" s="17">
        <v>1</v>
      </c>
      <c r="D17" s="7" t="s">
        <v>64</v>
      </c>
      <c r="E17" s="16" t="s">
        <v>65</v>
      </c>
      <c r="F17" s="16" t="s">
        <v>29</v>
      </c>
      <c r="G17" s="16" t="s">
        <v>107</v>
      </c>
    </row>
    <row r="18" spans="1:7" x14ac:dyDescent="0.35">
      <c r="A18" s="16" t="s">
        <v>203</v>
      </c>
      <c r="B18" s="16" t="s">
        <v>204</v>
      </c>
      <c r="C18" s="17">
        <v>2</v>
      </c>
      <c r="D18" s="16" t="s">
        <v>75</v>
      </c>
      <c r="E18" s="16" t="s">
        <v>76</v>
      </c>
      <c r="F18" s="16" t="s">
        <v>30</v>
      </c>
      <c r="G18" s="16" t="s">
        <v>110</v>
      </c>
    </row>
    <row r="19" spans="1:7" x14ac:dyDescent="0.35">
      <c r="A19" s="16" t="s">
        <v>203</v>
      </c>
      <c r="B19" s="16" t="s">
        <v>204</v>
      </c>
      <c r="C19" s="17">
        <v>3</v>
      </c>
      <c r="D19" s="16" t="s">
        <v>77</v>
      </c>
      <c r="E19" s="16" t="s">
        <v>78</v>
      </c>
      <c r="F19" s="16" t="s">
        <v>30</v>
      </c>
      <c r="G19" s="16" t="s">
        <v>103</v>
      </c>
    </row>
    <row r="20" spans="1:7" x14ac:dyDescent="0.35">
      <c r="A20" s="16" t="s">
        <v>205</v>
      </c>
      <c r="B20" s="16" t="s">
        <v>206</v>
      </c>
      <c r="C20" s="17">
        <v>1</v>
      </c>
      <c r="D20" s="16" t="s">
        <v>71</v>
      </c>
      <c r="E20" s="16" t="s">
        <v>72</v>
      </c>
      <c r="F20" s="16" t="s">
        <v>29</v>
      </c>
      <c r="G20" s="16" t="s">
        <v>101</v>
      </c>
    </row>
    <row r="21" spans="1:7" x14ac:dyDescent="0.35">
      <c r="A21" s="16" t="s">
        <v>205</v>
      </c>
      <c r="B21" s="16" t="s">
        <v>206</v>
      </c>
      <c r="C21" s="17">
        <v>2</v>
      </c>
      <c r="D21" s="16" t="s">
        <v>83</v>
      </c>
      <c r="E21" s="16" t="s">
        <v>84</v>
      </c>
      <c r="F21" s="16" t="s">
        <v>30</v>
      </c>
      <c r="G21" s="16" t="s">
        <v>95</v>
      </c>
    </row>
    <row r="22" spans="1:7" x14ac:dyDescent="0.35">
      <c r="A22" s="16" t="s">
        <v>205</v>
      </c>
      <c r="B22" s="16" t="s">
        <v>206</v>
      </c>
      <c r="C22" s="17">
        <v>3</v>
      </c>
      <c r="D22" s="16" t="s">
        <v>38</v>
      </c>
      <c r="E22" s="16" t="s">
        <v>39</v>
      </c>
      <c r="F22" s="16" t="s">
        <v>30</v>
      </c>
      <c r="G22" s="16" t="s">
        <v>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3" sqref="B3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34</v>
      </c>
      <c r="B1" s="3" t="s">
        <v>35</v>
      </c>
    </row>
    <row r="2" spans="1:2" x14ac:dyDescent="0.35">
      <c r="A2" s="4" t="s">
        <v>36</v>
      </c>
      <c r="B2" s="18" t="s">
        <v>264</v>
      </c>
    </row>
    <row r="3" spans="1:2" x14ac:dyDescent="0.35">
      <c r="A3" s="4" t="s">
        <v>37</v>
      </c>
      <c r="B3" s="4" t="s">
        <v>207</v>
      </c>
    </row>
    <row r="4" spans="1:2" x14ac:dyDescent="0.35">
      <c r="A4" t="s">
        <v>209</v>
      </c>
      <c r="B4" t="s">
        <v>210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schemas.microsoft.com/office/infopath/2007/PartnerControls"/>
    <ds:schemaRef ds:uri="bde74905-0e41-4c1c-a9e9-0b0ca4a779e3"/>
    <ds:schemaRef ds:uri="b731a6fc-fd02-48a8-bb42-25eb2962d7a5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e74905-0e41-4c1c-a9e9-0b0ca4a779e3"/>
    <ds:schemaRef ds:uri="b731a6fc-fd02-48a8-bb42-25eb2962d7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1_Events</vt:lpstr>
      <vt:lpstr>2_Committee</vt:lpstr>
      <vt:lpstr>3_OfficeBearers</vt:lpstr>
      <vt:lpstr>4_SubCommittees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2026-08-07T08:23:20Z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